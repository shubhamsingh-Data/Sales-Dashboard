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fileSharing readOnlyRecommended="1"/>
  <workbookPr codeName="ThisWorkbook" hidePivotFieldList="1" defaultThemeVersion="124226"/>
  <mc:AlternateContent xmlns:mc="http://schemas.openxmlformats.org/markup-compatibility/2006">
    <mc:Choice Requires="x15">
      <x15ac:absPath xmlns:x15ac="http://schemas.microsoft.com/office/spreadsheetml/2010/11/ac" url="C:\Users\user\Pictures\freelancing portfolio\excel\"/>
    </mc:Choice>
  </mc:AlternateContent>
  <xr:revisionPtr revIDLastSave="0" documentId="13_ncr:1_{1D3F1D9E-47F7-4667-801B-666A0A50F944}" xr6:coauthVersionLast="36" xr6:coauthVersionMax="36" xr10:uidLastSave="{00000000-0000-0000-0000-000000000000}"/>
  <bookViews>
    <workbookView xWindow="240" yWindow="15" windowWidth="16095" windowHeight="9660" activeTab="1" xr2:uid="{00000000-000D-0000-FFFF-FFFF00000000}"/>
  </bookViews>
  <sheets>
    <sheet name="Pivot_Summary" sheetId="2" r:id="rId1"/>
    <sheet name="Dashboard" sheetId="3" r:id="rId2"/>
    <sheet name="Sheet1" sheetId="1" r:id="rId3"/>
  </sheets>
  <definedNames>
    <definedName name="Slicer_Category">#N/A</definedName>
    <definedName name="Slicer_Date">#N/A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K3" i="1" l="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 i="1"/>
  <c r="A20" i="2"/>
  <c r="A16" i="2"/>
  <c r="B16" i="2" l="1"/>
  <c r="B20" i="2"/>
  <c r="A24" i="2"/>
  <c r="B24" i="2" s="1"/>
</calcChain>
</file>

<file path=xl/sharedStrings.xml><?xml version="1.0" encoding="utf-8"?>
<sst xmlns="http://schemas.openxmlformats.org/spreadsheetml/2006/main" count="1051" uniqueCount="243">
  <si>
    <t>Order ID</t>
  </si>
  <si>
    <t>Date</t>
  </si>
  <si>
    <t>Product</t>
  </si>
  <si>
    <t>Category</t>
  </si>
  <si>
    <t>Region</t>
  </si>
  <si>
    <t>Units Sold</t>
  </si>
  <si>
    <t>Unit Price</t>
  </si>
  <si>
    <t>Cost Price</t>
  </si>
  <si>
    <t>Return</t>
  </si>
  <si>
    <t>ORD0001</t>
  </si>
  <si>
    <t>ORD0002</t>
  </si>
  <si>
    <t>ORD0003</t>
  </si>
  <si>
    <t>ORD0004</t>
  </si>
  <si>
    <t>ORD0005</t>
  </si>
  <si>
    <t>ORD0006</t>
  </si>
  <si>
    <t>ORD0007</t>
  </si>
  <si>
    <t>ORD0008</t>
  </si>
  <si>
    <t>ORD0009</t>
  </si>
  <si>
    <t>ORD0010</t>
  </si>
  <si>
    <t>ORD0011</t>
  </si>
  <si>
    <t>ORD0012</t>
  </si>
  <si>
    <t>ORD0013</t>
  </si>
  <si>
    <t>ORD0014</t>
  </si>
  <si>
    <t>ORD0015</t>
  </si>
  <si>
    <t>ORD0016</t>
  </si>
  <si>
    <t>ORD0017</t>
  </si>
  <si>
    <t>ORD0018</t>
  </si>
  <si>
    <t>ORD0019</t>
  </si>
  <si>
    <t>ORD0020</t>
  </si>
  <si>
    <t>ORD0021</t>
  </si>
  <si>
    <t>ORD0022</t>
  </si>
  <si>
    <t>ORD0023</t>
  </si>
  <si>
    <t>ORD0024</t>
  </si>
  <si>
    <t>ORD0025</t>
  </si>
  <si>
    <t>ORD0026</t>
  </si>
  <si>
    <t>ORD0027</t>
  </si>
  <si>
    <t>ORD0028</t>
  </si>
  <si>
    <t>ORD0029</t>
  </si>
  <si>
    <t>ORD0030</t>
  </si>
  <si>
    <t>ORD0031</t>
  </si>
  <si>
    <t>ORD0032</t>
  </si>
  <si>
    <t>ORD0033</t>
  </si>
  <si>
    <t>ORD0034</t>
  </si>
  <si>
    <t>ORD0035</t>
  </si>
  <si>
    <t>ORD0036</t>
  </si>
  <si>
    <t>ORD0037</t>
  </si>
  <si>
    <t>ORD0038</t>
  </si>
  <si>
    <t>ORD0039</t>
  </si>
  <si>
    <t>ORD0040</t>
  </si>
  <si>
    <t>ORD0041</t>
  </si>
  <si>
    <t>ORD0042</t>
  </si>
  <si>
    <t>ORD0043</t>
  </si>
  <si>
    <t>ORD0044</t>
  </si>
  <si>
    <t>ORD0045</t>
  </si>
  <si>
    <t>ORD0046</t>
  </si>
  <si>
    <t>ORD0047</t>
  </si>
  <si>
    <t>ORD0048</t>
  </si>
  <si>
    <t>ORD0049</t>
  </si>
  <si>
    <t>ORD0050</t>
  </si>
  <si>
    <t>ORD0051</t>
  </si>
  <si>
    <t>ORD0052</t>
  </si>
  <si>
    <t>ORD0053</t>
  </si>
  <si>
    <t>ORD0054</t>
  </si>
  <si>
    <t>ORD0055</t>
  </si>
  <si>
    <t>ORD0056</t>
  </si>
  <si>
    <t>ORD0057</t>
  </si>
  <si>
    <t>ORD0058</t>
  </si>
  <si>
    <t>ORD0059</t>
  </si>
  <si>
    <t>ORD0060</t>
  </si>
  <si>
    <t>ORD0061</t>
  </si>
  <si>
    <t>ORD0062</t>
  </si>
  <si>
    <t>ORD0063</t>
  </si>
  <si>
    <t>ORD0064</t>
  </si>
  <si>
    <t>ORD0065</t>
  </si>
  <si>
    <t>ORD0066</t>
  </si>
  <si>
    <t>ORD0067</t>
  </si>
  <si>
    <t>ORD0068</t>
  </si>
  <si>
    <t>ORD0069</t>
  </si>
  <si>
    <t>ORD0070</t>
  </si>
  <si>
    <t>ORD0071</t>
  </si>
  <si>
    <t>ORD0072</t>
  </si>
  <si>
    <t>ORD0073</t>
  </si>
  <si>
    <t>ORD0074</t>
  </si>
  <si>
    <t>ORD0075</t>
  </si>
  <si>
    <t>ORD0076</t>
  </si>
  <si>
    <t>ORD0077</t>
  </si>
  <si>
    <t>ORD0078</t>
  </si>
  <si>
    <t>ORD0079</t>
  </si>
  <si>
    <t>ORD0080</t>
  </si>
  <si>
    <t>ORD0081</t>
  </si>
  <si>
    <t>ORD0082</t>
  </si>
  <si>
    <t>ORD0083</t>
  </si>
  <si>
    <t>ORD0084</t>
  </si>
  <si>
    <t>ORD0085</t>
  </si>
  <si>
    <t>ORD0086</t>
  </si>
  <si>
    <t>ORD0087</t>
  </si>
  <si>
    <t>ORD0088</t>
  </si>
  <si>
    <t>ORD0089</t>
  </si>
  <si>
    <t>ORD0090</t>
  </si>
  <si>
    <t>ORD0091</t>
  </si>
  <si>
    <t>ORD0092</t>
  </si>
  <si>
    <t>ORD0093</t>
  </si>
  <si>
    <t>ORD0094</t>
  </si>
  <si>
    <t>ORD0095</t>
  </si>
  <si>
    <t>ORD0096</t>
  </si>
  <si>
    <t>ORD0097</t>
  </si>
  <si>
    <t>ORD0098</t>
  </si>
  <si>
    <t>ORD0099</t>
  </si>
  <si>
    <t>ORD0100</t>
  </si>
  <si>
    <t>ORD0101</t>
  </si>
  <si>
    <t>ORD0102</t>
  </si>
  <si>
    <t>ORD0103</t>
  </si>
  <si>
    <t>ORD0104</t>
  </si>
  <si>
    <t>ORD0105</t>
  </si>
  <si>
    <t>ORD0106</t>
  </si>
  <si>
    <t>ORD0107</t>
  </si>
  <si>
    <t>ORD0108</t>
  </si>
  <si>
    <t>ORD0109</t>
  </si>
  <si>
    <t>ORD0110</t>
  </si>
  <si>
    <t>ORD0111</t>
  </si>
  <si>
    <t>ORD0112</t>
  </si>
  <si>
    <t>ORD0113</t>
  </si>
  <si>
    <t>ORD0114</t>
  </si>
  <si>
    <t>ORD0115</t>
  </si>
  <si>
    <t>ORD0116</t>
  </si>
  <si>
    <t>ORD0117</t>
  </si>
  <si>
    <t>ORD0118</t>
  </si>
  <si>
    <t>ORD0119</t>
  </si>
  <si>
    <t>ORD0120</t>
  </si>
  <si>
    <t>ORD0121</t>
  </si>
  <si>
    <t>ORD0122</t>
  </si>
  <si>
    <t>ORD0123</t>
  </si>
  <si>
    <t>ORD0124</t>
  </si>
  <si>
    <t>ORD0125</t>
  </si>
  <si>
    <t>ORD0126</t>
  </si>
  <si>
    <t>ORD0127</t>
  </si>
  <si>
    <t>ORD0128</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</si>
  <si>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</si>
  <si>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</si>
  <si>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</si>
  <si>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</si>
  <si>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</si>
  <si>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</si>
  <si>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</si>
  <si>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</si>
  <si>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</si>
  <si>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</si>
  <si>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</si>
  <si>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</si>
  <si>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</si>
  <si>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</si>
  <si>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</si>
  <si>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</si>
  <si>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</si>
  <si>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</si>
  <si>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</si>
  <si>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</si>
  <si>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</si>
  <si>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</si>
  <si>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</si>
  <si>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</si>
  <si>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</si>
  <si>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</si>
  <si>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</si>
  <si>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</si>
  <si>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</si>
  <si>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</si>
  <si>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</si>
  <si>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</si>
  <si>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</si>
  <si>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</si>
  <si>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</si>
  <si>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</si>
  <si>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</si>
  <si>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</si>
  <si>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</si>
  <si>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</si>
  <si>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</si>
  <si>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</si>
  <si>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</si>
  <si>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</si>
  <si>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</si>
  <si>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</si>
  <si>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</si>
  <si>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</si>
  <si>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</si>
  <si>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</si>
  <si>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</si>
  <si>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</si>
  <si>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</si>
  <si>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</si>
  <si>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</si>
  <si>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</si>
  <si>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</si>
  <si>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</si>
  <si>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</si>
  <si>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</si>
  <si>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</si>
  <si>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</si>
  <si>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</si>
  <si>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</si>
  <si>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</si>
  <si>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</si>
  <si>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</si>
  <si>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</si>
  <si>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</si>
  <si>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</si>
  <si>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</si>
  <si>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</si>
  <si>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Shoes</t>
  </si>
  <si>
    <t>Jeans</t>
  </si>
  <si>
    <t>T-shirt</t>
  </si>
  <si>
    <t>Sandals</t>
  </si>
  <si>
    <t>Backpack</t>
  </si>
  <si>
    <t>Watch</t>
  </si>
  <si>
    <t>Cap</t>
  </si>
  <si>
    <t>Sunglasses</t>
  </si>
  <si>
    <t>Wallet</t>
  </si>
  <si>
    <t>Jacket</t>
  </si>
  <si>
    <t>Footwear</t>
  </si>
  <si>
    <t>Clothing</t>
  </si>
  <si>
    <t>Accessories</t>
  </si>
  <si>
    <t>East</t>
  </si>
  <si>
    <t>North</t>
  </si>
  <si>
    <t>South</t>
  </si>
  <si>
    <t>West</t>
  </si>
  <si>
    <t>No</t>
  </si>
  <si>
    <t>Yes</t>
  </si>
  <si>
    <t>Revenue</t>
  </si>
  <si>
    <t>Profit</t>
  </si>
  <si>
    <t>Row Labels</t>
  </si>
  <si>
    <t>Grand Total</t>
  </si>
  <si>
    <t>Sum of Profit</t>
  </si>
  <si>
    <t>Count of Order ID</t>
  </si>
  <si>
    <t>Jan</t>
  </si>
  <si>
    <t>Feb</t>
  </si>
  <si>
    <t>Mar</t>
  </si>
  <si>
    <t>Apr</t>
  </si>
  <si>
    <t>May</t>
  </si>
  <si>
    <t>Jun</t>
  </si>
  <si>
    <t>Jul</t>
  </si>
  <si>
    <t>2025</t>
  </si>
  <si>
    <t>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</si>
</sst>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m\-dd"/>
    <numFmt numFmtId="165" formatCode="#,##0.0"/>
    <numFmt numFmtId="166" formatCode="&quot;₹&quot;\ #,##0.00"/>
    <numFmt numFmtId="167" formatCode="&quot;₹&quot;\ #,##0"/>
    <numFmt numFmtId="168" formatCode="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164" fontId="0" fillId="0" borderId="0" xfId="0" applyNumberFormat="1" applyAlignment="1">
      <alignment horizontal="left" indent="1"/>
    </xf>
    <xf numFmtId="165" fontId="0" fillId="2" borderId="0" xfId="0" applyNumberFormat="1" applyFill="1"/>
    <xf numFmtId="3" fontId="0" fillId="2" borderId="0" xfId="0" applyNumberFormat="1" applyFill="1"/>
    <xf numFmtId="10" fontId="0" fillId="0" borderId="0" xfId="0" applyNumberFormat="1"/>
    <xf numFmtId="14" fontId="0" fillId="0" borderId="0" xfId="0" applyNumberFormat="1"/>
    <xf numFmtId="0" fontId="0" fillId="0" borderId="0" xfId="0" applyNumberFormat="1"/>
    <xf numFmtId="166" fontId="0" fillId="0" borderId="0" xfId="0" applyNumberFormat="1"/>
    <xf numFmtId="167" fontId="0" fillId="0" borderId="0" xfId="0" applyNumberFormat="1"/>
    <xf numFmtId="168" fontId="0" fillId="0" borderId="0" xfId="0" applyNumberFormat="1"/>
  </cellXfs>
  <cellStyles count="1">
    <cellStyle name="Normal" xfId="0" builtinId="0"/>
  </cellStyles>
  <dxfs count="12">
    <dxf>
      <numFmt numFmtId="3" formatCode="#,##0"/>
    </dxf>
    <dxf>
      <numFmt numFmtId="165" formatCode="#,##0.0"/>
      <fill>
        <patternFill patternType="solid">
          <bgColor theme="2"/>
        </patternFill>
      </fill>
    </dxf>
    <dxf>
      <numFmt numFmtId="3" formatCode="#,##0"/>
    </dxf>
    <dxf>
      <numFmt numFmtId="165" formatCode="#,##0.0"/>
      <fill>
        <patternFill patternType="solid">
          <bgColor theme="2"/>
        </patternFill>
      </fill>
    </dxf>
    <dxf>
      <numFmt numFmtId="3" formatCode="#,##0"/>
    </dxf>
    <dxf>
      <numFmt numFmtId="165" formatCode="#,##0.0"/>
      <fill>
        <patternFill patternType="solid">
          <bgColor theme="2"/>
        </patternFill>
      </fill>
    </dxf>
    <dxf>
      <numFmt numFmtId="3" formatCode="#,##0"/>
    </dxf>
    <dxf>
      <numFmt numFmtId="165" formatCode="#,##0.0"/>
      <fill>
        <patternFill patternType="solid">
          <bgColor theme="2"/>
        </patternFill>
      </fill>
    </dxf>
    <dxf>
      <numFmt numFmtId="3" formatCode="#,##0"/>
    </dxf>
    <dxf>
      <numFmt numFmtId="165" formatCode="#,##0.0"/>
      <fill>
        <patternFill patternType="solid">
          <bgColor theme="2"/>
        </patternFill>
      </fill>
    </dxf>
    <dxf>
      <numFmt numFmtId="165" formatCode="#,##0.0"/>
      <fill>
        <patternFill patternType="solid">
          <bgColor theme="2"/>
        </patternFill>
      </fill>
    </dxf>
    <dxf>
      <font>
        <strike val="0"/>
        <sz val="11"/>
        <color rgb="FFEAEAEA"/>
      </font>
      <fill>
        <patternFill patternType="mediumGray">
          <bgColor theme="1" tint="0.34998626667073579"/>
        </patternFill>
      </fill>
    </dxf>
  </dxfs>
  <tableStyles count="2" defaultTableStyle="TableStyleMedium9" defaultPivotStyle="PivotStyleLight16">
    <tableStyle name="Dark Theme Slicer" pivot="0" table="0" count="1" xr9:uid="{DB2A75DA-AD3A-42B9-8EEA-ED1B5A47E540}">
      <tableStyleElement type="wholeTable" dxfId="11"/>
    </tableStyle>
    <tableStyle name="Slicer Style 1" pivot="0" table="0" count="1" xr9:uid="{998C0FFB-B0BB-4E2B-8E99-627005C10BBD}"/>
  </tableStyles>
  <colors>
    <mruColors>
      <color rgb="FFEAEAEA"/>
      <color rgb="FF1F1F1F"/>
    </mruColors>
  </colors>
  <extLst>
    <ext xmlns:x14="http://schemas.microsoft.com/office/spreadsheetml/2009/9/main" uri="{46F421CA-312F-682f-3DD2-61675219B42D}">
      <x14:dxfs count="1">
        <dxf>
          <font>
            <color theme="1" tint="0.499984740745262"/>
          </font>
        </dxf>
      </x14:dxfs>
    </ext>
    <ext xmlns:x14="http://schemas.microsoft.com/office/spreadsheetml/2009/9/main" uri="{EB79DEF2-80B8-43e5-95BD-54CBDDF9020C}">
      <x14:slicerStyles defaultSlicerStyle="SlicerStyleLight1">
        <x14:slicerStyle name="Dark Theme Slicer"/>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[Sales_Dashboard_Data.xlsm]Pivot_Summary!PivotTable2</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Monthly Revenue &amp; Profit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Pivot_Summary!$B$3</c:f>
              <c:strCache>
                <c:ptCount val="1"/>
                <c:pt idx="0">
                  <c:v>Total Revenue</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multiLvlStrRef>
              <c:f>Pivot_Summary!$A$4:$A$12</c:f>
              <c:multiLvlStrCache>
                <c:ptCount val="7"/>
                <c:lvl>
                  <c:pt idx="0">
                    <c:v>Jan</c:v>
                  </c:pt>
                  <c:pt idx="1">
                    <c:v>Feb</c:v>
                  </c:pt>
                  <c:pt idx="2">
                    <c:v>Mar</c:v>
                  </c:pt>
                  <c:pt idx="3">
                    <c:v>Apr</c:v>
                  </c:pt>
                  <c:pt idx="4">
                    <c:v>May</c:v>
                  </c:pt>
                  <c:pt idx="5">
                    <c:v>Jun</c:v>
                  </c:pt>
                  <c:pt idx="6">
                    <c:v>Jul</c:v>
                  </c:pt>
                </c:lvl>
                <c:lvl>
                  <c:pt idx="0">
                    <c:v>2025</c:v>
                  </c:pt>
                </c:lvl>
              </c:multiLvlStrCache>
            </c:multiLvlStrRef>
          </c:cat>
          <c:val>
            <c:numRef>
              <c:f>Pivot_Summary!$B$4:$B$12</c:f>
              <c:numCache>
                <c:formatCode>#,##0</c:formatCode>
                <c:ptCount val="7"/>
                <c:pt idx="0">
                  <c:v>83100</c:v>
                </c:pt>
                <c:pt idx="1">
                  <c:v>196400</c:v>
                </c:pt>
                <c:pt idx="2">
                  <c:v>246800</c:v>
                </c:pt>
                <c:pt idx="3">
                  <c:v>244400</c:v>
                </c:pt>
                <c:pt idx="4">
                  <c:v>163900</c:v>
                </c:pt>
                <c:pt idx="5">
                  <c:v>288400</c:v>
                </c:pt>
                <c:pt idx="6">
                  <c:v>174800</c:v>
                </c:pt>
              </c:numCache>
            </c:numRef>
          </c:val>
          <c:smooth val="0"/>
          <c:extLst>
            <c:ext xmlns:c16="http://schemas.microsoft.com/office/drawing/2014/chart" uri="{C3380CC4-5D6E-409C-BE32-E72D297353CC}">
              <c16:uniqueId val="{00000000-5E06-4A09-BF55-D6127D613C1F}"/>
            </c:ext>
          </c:extLst>
        </c:ser>
        <c:ser>
          <c:idx val="1"/>
          <c:order val="1"/>
          <c:tx>
            <c:strRef>
              <c:f>Pivot_Summary!$C$3</c:f>
              <c:strCache>
                <c:ptCount val="1"/>
                <c:pt idx="0">
                  <c:v>Sum of Profit</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multiLvlStrRef>
              <c:f>Pivot_Summary!$A$4:$A$12</c:f>
              <c:multiLvlStrCache>
                <c:ptCount val="7"/>
                <c:lvl>
                  <c:pt idx="0">
                    <c:v>Jan</c:v>
                  </c:pt>
                  <c:pt idx="1">
                    <c:v>Feb</c:v>
                  </c:pt>
                  <c:pt idx="2">
                    <c:v>Mar</c:v>
                  </c:pt>
                  <c:pt idx="3">
                    <c:v>Apr</c:v>
                  </c:pt>
                  <c:pt idx="4">
                    <c:v>May</c:v>
                  </c:pt>
                  <c:pt idx="5">
                    <c:v>Jun</c:v>
                  </c:pt>
                  <c:pt idx="6">
                    <c:v>Jul</c:v>
                  </c:pt>
                </c:lvl>
                <c:lvl>
                  <c:pt idx="0">
                    <c:v>2025</c:v>
                  </c:pt>
                </c:lvl>
              </c:multiLvlStrCache>
            </c:multiLvlStrRef>
          </c:cat>
          <c:val>
            <c:numRef>
              <c:f>Pivot_Summary!$C$4:$C$12</c:f>
              <c:numCache>
                <c:formatCode>#,##0</c:formatCode>
                <c:ptCount val="7"/>
                <c:pt idx="0">
                  <c:v>29700</c:v>
                </c:pt>
                <c:pt idx="1">
                  <c:v>64300</c:v>
                </c:pt>
                <c:pt idx="2">
                  <c:v>88100</c:v>
                </c:pt>
                <c:pt idx="3">
                  <c:v>84600</c:v>
                </c:pt>
                <c:pt idx="4">
                  <c:v>58500</c:v>
                </c:pt>
                <c:pt idx="5">
                  <c:v>97500</c:v>
                </c:pt>
                <c:pt idx="6">
                  <c:v>60400</c:v>
                </c:pt>
              </c:numCache>
            </c:numRef>
          </c:val>
          <c:smooth val="0"/>
          <c:extLst>
            <c:ext xmlns:c16="http://schemas.microsoft.com/office/drawing/2014/chart" uri="{C3380CC4-5D6E-409C-BE32-E72D297353CC}">
              <c16:uniqueId val="{00000001-5E06-4A09-BF55-D6127D613C1F}"/>
            </c:ext>
          </c:extLst>
        </c:ser>
        <c:dLbls>
          <c:showLegendKey val="0"/>
          <c:showVal val="0"/>
          <c:showCatName val="0"/>
          <c:showSerName val="0"/>
          <c:showPercent val="0"/>
          <c:showBubbleSize val="0"/>
        </c:dLbls>
        <c:marker val="1"/>
        <c:smooth val="0"/>
        <c:axId val="99770399"/>
        <c:axId val="31098335"/>
      </c:lineChart>
      <c:catAx>
        <c:axId val="9977039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98335"/>
        <c:crosses val="autoZero"/>
        <c:auto val="1"/>
        <c:lblAlgn val="ctr"/>
        <c:lblOffset val="100"/>
        <c:noMultiLvlLbl val="0"/>
      </c:catAx>
      <c:valAx>
        <c:axId val="31098335"/>
        <c:scaling>
          <c:orientation val="minMax"/>
        </c:scaling>
        <c:delete val="0"/>
        <c:axPos val="l"/>
        <c:majorGridlines>
          <c:spPr>
            <a:ln w="9525" cap="flat" cmpd="sng" algn="ctr">
              <a:solidFill>
                <a:schemeClr val="lt1">
                  <a:lumMod val="95000"/>
                  <a:alpha val="10000"/>
                </a:schemeClr>
              </a:solidFill>
              <a:round/>
            </a:ln>
            <a:effectLst/>
          </c:spPr>
        </c:majorGridlines>
        <c:numFmt formatCode="[&gt;=1000000]&quot;₹&quot;#,,,&quot;M&quot;;[&gt;=1000]&quot;₹&quot;#,&quot;K&quot;;&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77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[Sales_Dashboard_Data.xlsm]Pivot_Summary!PivotTable3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Revenue by Category</a:t>
            </a:r>
          </a:p>
        </c:rich>
      </c:tx>
      <c:layout>
        <c:manualLayout>
          <c:xMode val="edge"/>
          <c:yMode val="edge"/>
          <c:x val="0.25794970543936246"/>
          <c:y val="0.15400574928133984"/>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manualLayout>
          <c:layoutTarget val="inner"/>
          <c:xMode val="edge"/>
          <c:yMode val="edge"/>
          <c:x val="0.36122450795345495"/>
          <c:y val="0.35752080989876267"/>
          <c:w val="0.27334591650619944"/>
          <c:h val="0.47614098237720287"/>
        </c:manualLayout>
      </c:layout>
      <c:barChart>
        <c:barDir val="bar"/>
        <c:grouping val="clustered"/>
        <c:varyColors val="0"/>
        <c:ser>
          <c:idx val="0"/>
          <c:order val="0"/>
          <c:tx>
            <c:strRef>
              <c:f>Pivot_Summary!$F$3</c:f>
              <c:strCache>
                <c:ptCount val="1"/>
                <c:pt idx="0">
                  <c:v>Total Revenue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Pivot_Summary!$E$4:$E$7</c:f>
              <c:strCache>
                <c:ptCount val="3"/>
                <c:pt idx="0">
                  <c:v>Accessories</c:v>
                </c:pt>
                <c:pt idx="1">
                  <c:v>Clothing</c:v>
                </c:pt>
                <c:pt idx="2">
                  <c:v>Footwear</c:v>
                </c:pt>
              </c:strCache>
            </c:strRef>
          </c:cat>
          <c:val>
            <c:numRef>
              <c:f>Pivot_Summary!$F$4:$F$7</c:f>
              <c:numCache>
                <c:formatCode>#,##0</c:formatCode>
                <c:ptCount val="3"/>
                <c:pt idx="0">
                  <c:v>621800</c:v>
                </c:pt>
                <c:pt idx="1">
                  <c:v>473200</c:v>
                </c:pt>
                <c:pt idx="2">
                  <c:v>302800</c:v>
                </c:pt>
              </c:numCache>
            </c:numRef>
          </c:val>
          <c:extLst>
            <c:ext xmlns:c16="http://schemas.microsoft.com/office/drawing/2014/chart" uri="{C3380CC4-5D6E-409C-BE32-E72D297353CC}">
              <c16:uniqueId val="{00000000-C8AB-4D6C-A645-B33D6D14A3BD}"/>
            </c:ext>
          </c:extLst>
        </c:ser>
        <c:ser>
          <c:idx val="1"/>
          <c:order val="1"/>
          <c:tx>
            <c:strRef>
              <c:f>Pivot_Summary!$G$3</c:f>
              <c:strCache>
                <c:ptCount val="1"/>
                <c:pt idx="0">
                  <c:v>Sum of Profit</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Pivot_Summary!$E$4:$E$7</c:f>
              <c:strCache>
                <c:ptCount val="3"/>
                <c:pt idx="0">
                  <c:v>Accessories</c:v>
                </c:pt>
                <c:pt idx="1">
                  <c:v>Clothing</c:v>
                </c:pt>
                <c:pt idx="2">
                  <c:v>Footwear</c:v>
                </c:pt>
              </c:strCache>
            </c:strRef>
          </c:cat>
          <c:val>
            <c:numRef>
              <c:f>Pivot_Summary!$G$4:$G$7</c:f>
              <c:numCache>
                <c:formatCode>#,##0</c:formatCode>
                <c:ptCount val="3"/>
                <c:pt idx="0">
                  <c:v>224400</c:v>
                </c:pt>
                <c:pt idx="1">
                  <c:v>161500</c:v>
                </c:pt>
                <c:pt idx="2">
                  <c:v>97200</c:v>
                </c:pt>
              </c:numCache>
            </c:numRef>
          </c:val>
          <c:extLst>
            <c:ext xmlns:c16="http://schemas.microsoft.com/office/drawing/2014/chart" uri="{C3380CC4-5D6E-409C-BE32-E72D297353CC}">
              <c16:uniqueId val="{00000001-C8AB-4D6C-A645-B33D6D14A3BD}"/>
            </c:ext>
          </c:extLst>
        </c:ser>
        <c:dLbls>
          <c:showLegendKey val="0"/>
          <c:showVal val="0"/>
          <c:showCatName val="0"/>
          <c:showSerName val="0"/>
          <c:showPercent val="0"/>
          <c:showBubbleSize val="0"/>
        </c:dLbls>
        <c:gapWidth val="115"/>
        <c:overlap val="-20"/>
        <c:axId val="107034079"/>
        <c:axId val="113545695"/>
      </c:barChart>
      <c:catAx>
        <c:axId val="10703407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3545695"/>
        <c:crosses val="autoZero"/>
        <c:auto val="1"/>
        <c:lblAlgn val="ctr"/>
        <c:lblOffset val="100"/>
        <c:noMultiLvlLbl val="0"/>
      </c:catAx>
      <c:valAx>
        <c:axId val="113545695"/>
        <c:scaling>
          <c:orientation val="minMax"/>
        </c:scaling>
        <c:delete val="0"/>
        <c:axPos val="b"/>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034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[Sales_Dashboard_Data.xlsm]Pivot_Summary!PivotTable4</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Profit by Region</a:t>
            </a:r>
          </a:p>
        </c:rich>
      </c:tx>
      <c:layout>
        <c:manualLayout>
          <c:xMode val="edge"/>
          <c:yMode val="edge"/>
          <c:x val="0.26782571061596022"/>
          <c:y val="0.20089808051102045"/>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Pivot_Summary!$J$3</c:f>
              <c:strCache>
                <c:ptCount val="1"/>
                <c:pt idx="0">
                  <c:v>Total Revenue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Pivot_Summary!$I$4:$I$8</c:f>
              <c:strCache>
                <c:ptCount val="4"/>
                <c:pt idx="0">
                  <c:v>South</c:v>
                </c:pt>
                <c:pt idx="1">
                  <c:v>North</c:v>
                </c:pt>
                <c:pt idx="2">
                  <c:v>East</c:v>
                </c:pt>
                <c:pt idx="3">
                  <c:v>West</c:v>
                </c:pt>
              </c:strCache>
            </c:strRef>
          </c:cat>
          <c:val>
            <c:numRef>
              <c:f>Pivot_Summary!$J$4:$J$8</c:f>
              <c:numCache>
                <c:formatCode>#,##0</c:formatCode>
                <c:ptCount val="4"/>
                <c:pt idx="0">
                  <c:v>380800</c:v>
                </c:pt>
                <c:pt idx="1">
                  <c:v>369800</c:v>
                </c:pt>
                <c:pt idx="2">
                  <c:v>327800</c:v>
                </c:pt>
                <c:pt idx="3">
                  <c:v>319400</c:v>
                </c:pt>
              </c:numCache>
            </c:numRef>
          </c:val>
          <c:extLst>
            <c:ext xmlns:c16="http://schemas.microsoft.com/office/drawing/2014/chart" uri="{C3380CC4-5D6E-409C-BE32-E72D297353CC}">
              <c16:uniqueId val="{00000000-CFB0-42EF-8295-29379FA2FAD7}"/>
            </c:ext>
          </c:extLst>
        </c:ser>
        <c:ser>
          <c:idx val="1"/>
          <c:order val="1"/>
          <c:tx>
            <c:strRef>
              <c:f>Pivot_Summary!$K$3</c:f>
              <c:strCache>
                <c:ptCount val="1"/>
                <c:pt idx="0">
                  <c:v>Sum of Profit</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Pivot_Summary!$I$4:$I$8</c:f>
              <c:strCache>
                <c:ptCount val="4"/>
                <c:pt idx="0">
                  <c:v>South</c:v>
                </c:pt>
                <c:pt idx="1">
                  <c:v>North</c:v>
                </c:pt>
                <c:pt idx="2">
                  <c:v>East</c:v>
                </c:pt>
                <c:pt idx="3">
                  <c:v>West</c:v>
                </c:pt>
              </c:strCache>
            </c:strRef>
          </c:cat>
          <c:val>
            <c:numRef>
              <c:f>Pivot_Summary!$K$4:$K$8</c:f>
              <c:numCache>
                <c:formatCode>#,##0</c:formatCode>
                <c:ptCount val="4"/>
                <c:pt idx="0">
                  <c:v>128150</c:v>
                </c:pt>
                <c:pt idx="1">
                  <c:v>132700</c:v>
                </c:pt>
                <c:pt idx="2">
                  <c:v>113400</c:v>
                </c:pt>
                <c:pt idx="3">
                  <c:v>108850</c:v>
                </c:pt>
              </c:numCache>
            </c:numRef>
          </c:val>
          <c:extLst>
            <c:ext xmlns:c16="http://schemas.microsoft.com/office/drawing/2014/chart" uri="{C3380CC4-5D6E-409C-BE32-E72D297353CC}">
              <c16:uniqueId val="{00000001-CFB0-42EF-8295-29379FA2FAD7}"/>
            </c:ext>
          </c:extLst>
        </c:ser>
        <c:dLbls>
          <c:dLblPos val="outEnd"/>
          <c:showLegendKey val="0"/>
          <c:showVal val="1"/>
          <c:showCatName val="0"/>
          <c:showSerName val="0"/>
          <c:showPercent val="0"/>
          <c:showBubbleSize val="0"/>
        </c:dLbls>
        <c:gapWidth val="115"/>
        <c:overlap val="-20"/>
        <c:axId val="98170975"/>
        <c:axId val="113543615"/>
      </c:barChart>
      <c:catAx>
        <c:axId val="9817097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3543615"/>
        <c:crosses val="autoZero"/>
        <c:auto val="1"/>
        <c:lblAlgn val="ctr"/>
        <c:lblOffset val="100"/>
        <c:noMultiLvlLbl val="0"/>
      </c:catAx>
      <c:valAx>
        <c:axId val="113543615"/>
        <c:scaling>
          <c:orientation val="minMax"/>
        </c:scaling>
        <c:delete val="0"/>
        <c:axPos val="b"/>
        <c:majorGridlines>
          <c:spPr>
            <a:ln w="9525" cap="flat" cmpd="sng" algn="ctr">
              <a:solidFill>
                <a:schemeClr val="lt1">
                  <a:lumMod val="95000"/>
                  <a:alpha val="10000"/>
                </a:schemeClr>
              </a:solidFill>
              <a:round/>
            </a:ln>
            <a:effectLst/>
          </c:spPr>
        </c:majorGridlines>
        <c:numFmt formatCode="[&gt;=1000000]&quot;₹&quot;#,,,&quot;M&quot;;[&gt;=1000]&quot;₹&quot;#,&quot;K&quot;;&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170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[Sales_Dashboard_Data.xlsm]Pivot_Summary!PivotTable5</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Top Products by Revenue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Pivot_Summary!$F$11</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Pivot_Summary!$E$12:$E$17</c:f>
              <c:strCache>
                <c:ptCount val="5"/>
                <c:pt idx="0">
                  <c:v>Watch</c:v>
                </c:pt>
                <c:pt idx="1">
                  <c:v>Shoes</c:v>
                </c:pt>
                <c:pt idx="2">
                  <c:v>Jeans</c:v>
                </c:pt>
                <c:pt idx="3">
                  <c:v>Jacket</c:v>
                </c:pt>
                <c:pt idx="4">
                  <c:v>Backpack</c:v>
                </c:pt>
              </c:strCache>
            </c:strRef>
          </c:cat>
          <c:val>
            <c:numRef>
              <c:f>Pivot_Summary!$F$12:$F$17</c:f>
              <c:numCache>
                <c:formatCode>#,##0</c:formatCode>
                <c:ptCount val="5"/>
                <c:pt idx="0">
                  <c:v>282000</c:v>
                </c:pt>
                <c:pt idx="1">
                  <c:v>218000</c:v>
                </c:pt>
                <c:pt idx="2">
                  <c:v>138000</c:v>
                </c:pt>
                <c:pt idx="3">
                  <c:v>265000</c:v>
                </c:pt>
                <c:pt idx="4">
                  <c:v>129600</c:v>
                </c:pt>
              </c:numCache>
            </c:numRef>
          </c:val>
          <c:extLst>
            <c:ext xmlns:c16="http://schemas.microsoft.com/office/drawing/2014/chart" uri="{C3380CC4-5D6E-409C-BE32-E72D297353CC}">
              <c16:uniqueId val="{00000000-C39E-4536-90A6-7C5764C9635A}"/>
            </c:ext>
          </c:extLst>
        </c:ser>
        <c:dLbls>
          <c:dLblPos val="outEnd"/>
          <c:showLegendKey val="0"/>
          <c:showVal val="1"/>
          <c:showCatName val="0"/>
          <c:showSerName val="0"/>
          <c:showPercent val="0"/>
          <c:showBubbleSize val="0"/>
        </c:dLbls>
        <c:gapWidth val="100"/>
        <c:overlap val="-24"/>
        <c:axId val="239281791"/>
        <c:axId val="245723503"/>
      </c:barChart>
      <c:catAx>
        <c:axId val="2392817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45723503"/>
        <c:crosses val="autoZero"/>
        <c:auto val="1"/>
        <c:lblAlgn val="ctr"/>
        <c:lblOffset val="100"/>
        <c:noMultiLvlLbl val="0"/>
      </c:catAx>
      <c:valAx>
        <c:axId val="245723503"/>
        <c:scaling>
          <c:orientation val="minMax"/>
        </c:scaling>
        <c:delete val="0"/>
        <c:axPos val="l"/>
        <c:majorGridlines>
          <c:spPr>
            <a:ln w="9525" cap="flat" cmpd="sng" algn="ctr">
              <a:solidFill>
                <a:schemeClr val="lt1">
                  <a:lumMod val="95000"/>
                  <a:alpha val="10000"/>
                </a:schemeClr>
              </a:solidFill>
              <a:round/>
            </a:ln>
            <a:effectLst/>
          </c:spPr>
        </c:majorGridlines>
        <c:numFmt formatCode="[&gt;=1000000]&quot;₹&quot;#,,,&quot;M&quot;;[&gt;=1000]&quot;₹&quot;#,&quot;K&quot;;&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281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[Sales_Dashboard_Data.xlsm]Pivot_Summary!PivotTable6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Return Rate Distribution</a:t>
            </a:r>
            <a:endParaRPr lang="en-US"/>
          </a:p>
        </c:rich>
      </c:tx>
      <c:layout>
        <c:manualLayout>
          <c:xMode val="edge"/>
          <c:yMode val="edge"/>
          <c:x val="0.1419078242229368"/>
          <c:y val="0.16680139982502187"/>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Pivot_Summary!$I$11</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F24-4F80-B4FD-38B7D7A6083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FF24-4F80-B4FD-38B7D7A6083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Pivot_Summary!$H$12:$H$14</c:f>
              <c:strCache>
                <c:ptCount val="2"/>
                <c:pt idx="0">
                  <c:v>No</c:v>
                </c:pt>
                <c:pt idx="1">
                  <c:v>Yes</c:v>
                </c:pt>
              </c:strCache>
            </c:strRef>
          </c:cat>
          <c:val>
            <c:numRef>
              <c:f>Pivot_Summary!$I$12:$I$14</c:f>
              <c:numCache>
                <c:formatCode>#,##0</c:formatCode>
                <c:ptCount val="2"/>
                <c:pt idx="0">
                  <c:v>185</c:v>
                </c:pt>
                <c:pt idx="1">
                  <c:v>15</c:v>
                </c:pt>
              </c:numCache>
            </c:numRef>
          </c:val>
          <c:extLst>
            <c:ext xmlns:c16="http://schemas.microsoft.com/office/drawing/2014/chart" uri="{C3380CC4-5D6E-409C-BE32-E72D297353CC}">
              <c16:uniqueId val="{00000004-FF24-4F80-B4FD-38B7D7A6083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200025</xdr:colOff>
      <xdr:row>4</xdr:row>
      <xdr:rowOff>152400</xdr:rowOff>
    </xdr:from>
    <xdr:to>
      <xdr:col>8</xdr:col>
      <xdr:colOff>238125</xdr:colOff>
      <xdr:row>15</xdr:row>
      <xdr:rowOff>171450</xdr:rowOff>
    </xdr:to>
    <xdr:graphicFrame macro="">
      <xdr:nvGraphicFramePr>
        <xdr:cNvPr id="3" name="Chart 2">
          <a:extLst>
            <a:ext uri="{FF2B5EF4-FFF2-40B4-BE49-F238E27FC236}">
              <a16:creationId xmlns:a16="http://schemas.microsoft.com/office/drawing/2014/main" id="{2BC38CBB-B693-4E5B-A33F-92134863B8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304800</xdr:colOff>
      <xdr:row>4</xdr:row>
      <xdr:rowOff>152399</xdr:rowOff>
    </xdr:from>
    <xdr:to>
      <xdr:col>14</xdr:col>
      <xdr:colOff>600075</xdr:colOff>
      <xdr:row>15</xdr:row>
      <xdr:rowOff>161925</xdr:rowOff>
    </xdr:to>
    <xdr:graphicFrame macro="">
      <xdr:nvGraphicFramePr>
        <xdr:cNvPr id="5" name="Chart 4">
          <a:extLst>
            <a:ext uri="{FF2B5EF4-FFF2-40B4-BE49-F238E27FC236}">
              <a16:creationId xmlns:a16="http://schemas.microsoft.com/office/drawing/2014/main" id="{A37A8F89-A1AB-4C80-BB60-2031B796EB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323848</xdr:colOff>
      <xdr:row>16</xdr:row>
      <xdr:rowOff>104775</xdr:rowOff>
    </xdr:from>
    <xdr:to>
      <xdr:col>15</xdr:col>
      <xdr:colOff>266699</xdr:colOff>
      <xdr:row>27</xdr:row>
      <xdr:rowOff>95250</xdr:rowOff>
    </xdr:to>
    <xdr:graphicFrame macro="">
      <xdr:nvGraphicFramePr>
        <xdr:cNvPr id="6" name="Chart 5">
          <a:extLst>
            <a:ext uri="{FF2B5EF4-FFF2-40B4-BE49-F238E27FC236}">
              <a16:creationId xmlns:a16="http://schemas.microsoft.com/office/drawing/2014/main" id="{BCA6FDAC-E104-46D7-8FDD-9031B51151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200025</xdr:colOff>
      <xdr:row>16</xdr:row>
      <xdr:rowOff>104775</xdr:rowOff>
    </xdr:from>
    <xdr:to>
      <xdr:col>8</xdr:col>
      <xdr:colOff>247650</xdr:colOff>
      <xdr:row>27</xdr:row>
      <xdr:rowOff>142875</xdr:rowOff>
    </xdr:to>
    <xdr:graphicFrame macro="">
      <xdr:nvGraphicFramePr>
        <xdr:cNvPr id="8" name="Chart 7">
          <a:extLst>
            <a:ext uri="{FF2B5EF4-FFF2-40B4-BE49-F238E27FC236}">
              <a16:creationId xmlns:a16="http://schemas.microsoft.com/office/drawing/2014/main" id="{471D0DF7-CD8E-43BF-958B-31A445192E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333375</xdr:colOff>
      <xdr:row>16</xdr:row>
      <xdr:rowOff>95250</xdr:rowOff>
    </xdr:from>
    <xdr:to>
      <xdr:col>20</xdr:col>
      <xdr:colOff>342900</xdr:colOff>
      <xdr:row>25</xdr:row>
      <xdr:rowOff>95250</xdr:rowOff>
    </xdr:to>
    <xdr:graphicFrame macro="">
      <xdr:nvGraphicFramePr>
        <xdr:cNvPr id="9" name="Chart 8">
          <a:extLst>
            <a:ext uri="{FF2B5EF4-FFF2-40B4-BE49-F238E27FC236}">
              <a16:creationId xmlns:a16="http://schemas.microsoft.com/office/drawing/2014/main" id="{5CD10555-62F7-4B5D-8E44-08526945D3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228601</xdr:colOff>
      <xdr:row>4</xdr:row>
      <xdr:rowOff>161925</xdr:rowOff>
    </xdr:from>
    <xdr:to>
      <xdr:col>1</xdr:col>
      <xdr:colOff>590551</xdr:colOff>
      <xdr:row>13</xdr:row>
      <xdr:rowOff>47625</xdr:rowOff>
    </xdr:to>
    <mc:AlternateContent xmlns:mc="http://schemas.openxmlformats.org/markup-compatibility/2006" xmlns:a14="http://schemas.microsoft.com/office/drawing/2010/main">
      <mc:Choice Requires="a14">
        <xdr:graphicFrame macro="">
          <xdr:nvGraphicFramePr>
            <xdr:cNvPr id="10" name="Date">
              <a:extLst>
                <a:ext uri="{FF2B5EF4-FFF2-40B4-BE49-F238E27FC236}">
                  <a16:creationId xmlns:a16="http://schemas.microsoft.com/office/drawing/2014/main" id="{335AF81D-1316-40E0-83B2-6DF282B82D82}"/>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28601" y="923925"/>
              <a:ext cx="971550" cy="1600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xdr:colOff>
      <xdr:row>4</xdr:row>
      <xdr:rowOff>152400</xdr:rowOff>
    </xdr:from>
    <xdr:to>
      <xdr:col>17</xdr:col>
      <xdr:colOff>171450</xdr:colOff>
      <xdr:row>12</xdr:row>
      <xdr:rowOff>47625</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96B64C27-5894-4702-A0A0-8F0124423C5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163050" y="914400"/>
              <a:ext cx="1371600" cy="1419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219075</xdr:colOff>
      <xdr:row>13</xdr:row>
      <xdr:rowOff>152401</xdr:rowOff>
    </xdr:from>
    <xdr:to>
      <xdr:col>2</xdr:col>
      <xdr:colOff>152400</xdr:colOff>
      <xdr:row>22</xdr:row>
      <xdr:rowOff>171451</xdr:rowOff>
    </xdr:to>
    <mc:AlternateContent xmlns:mc="http://schemas.openxmlformats.org/markup-compatibility/2006" xmlns:a14="http://schemas.microsoft.com/office/drawing/2010/main">
      <mc:Choice Requires="a14">
        <xdr:graphicFrame macro="">
          <xdr:nvGraphicFramePr>
            <xdr:cNvPr id="12" name="Region">
              <a:extLst>
                <a:ext uri="{FF2B5EF4-FFF2-40B4-BE49-F238E27FC236}">
                  <a16:creationId xmlns:a16="http://schemas.microsoft.com/office/drawing/2014/main" id="{D421D506-33FD-4452-A70F-F694C4F72F8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19075" y="2628901"/>
              <a:ext cx="1152525"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133349</xdr:colOff>
      <xdr:row>0</xdr:row>
      <xdr:rowOff>0</xdr:rowOff>
    </xdr:from>
    <xdr:ext cx="3200401" cy="468013"/>
    <xdr:sp macro="" textlink="">
      <xdr:nvSpPr>
        <xdr:cNvPr id="13" name="TextBox 12">
          <a:extLst>
            <a:ext uri="{FF2B5EF4-FFF2-40B4-BE49-F238E27FC236}">
              <a16:creationId xmlns:a16="http://schemas.microsoft.com/office/drawing/2014/main" id="{BBA82F24-3A35-4CA2-B45D-0B4FA89A1EED}"/>
            </a:ext>
          </a:extLst>
        </xdr:cNvPr>
        <xdr:cNvSpPr txBox="1"/>
      </xdr:nvSpPr>
      <xdr:spPr>
        <a:xfrm>
          <a:off x="133349" y="0"/>
          <a:ext cx="3200401"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scene3d>
            <a:camera prst="orthographicFront"/>
            <a:lightRig rig="threePt" dir="t"/>
          </a:scene3d>
          <a:sp3d extrusionH="57150">
            <a:bevelT w="38100" h="38100"/>
            <a:bevelB w="38100" h="38100" prst="angle"/>
          </a:sp3d>
        </a:bodyPr>
        <a:lstStyle/>
        <a:p>
          <a:r>
            <a:rPr lang="en-IN" sz="2400" b="1" u="sng">
              <a:solidFill>
                <a:schemeClr val="tx2">
                  <a:lumMod val="60000"/>
                  <a:lumOff val="40000"/>
                </a:schemeClr>
              </a:solidFill>
              <a:effectLst>
                <a:innerShdw blurRad="114300">
                  <a:prstClr val="black"/>
                </a:innerShdw>
              </a:effectLst>
            </a:rPr>
            <a:t>Sales Dashboard - 2025</a:t>
          </a:r>
        </a:p>
      </xdr:txBody>
    </xdr:sp>
    <xdr:clientData/>
  </xdr:oneCellAnchor>
  <xdr:twoCellAnchor>
    <xdr:from>
      <xdr:col>10</xdr:col>
      <xdr:colOff>66674</xdr:colOff>
      <xdr:row>0</xdr:row>
      <xdr:rowOff>133350</xdr:rowOff>
    </xdr:from>
    <xdr:to>
      <xdr:col>11</xdr:col>
      <xdr:colOff>573074</xdr:colOff>
      <xdr:row>3</xdr:row>
      <xdr:rowOff>101850</xdr:rowOff>
    </xdr:to>
    <xdr:sp macro="" textlink="Pivot_Summary!B24">
      <xdr:nvSpPr>
        <xdr:cNvPr id="19" name="Rectangle: Rounded Corners 18">
          <a:extLst>
            <a:ext uri="{FF2B5EF4-FFF2-40B4-BE49-F238E27FC236}">
              <a16:creationId xmlns:a16="http://schemas.microsoft.com/office/drawing/2014/main" id="{F57434F7-4ED1-47D6-B621-DD56E26E15EF}"/>
            </a:ext>
          </a:extLst>
        </xdr:cNvPr>
        <xdr:cNvSpPr/>
      </xdr:nvSpPr>
      <xdr:spPr>
        <a:xfrm>
          <a:off x="6162674" y="133350"/>
          <a:ext cx="1116000" cy="540000"/>
        </a:xfrm>
        <a:prstGeom prst="roundRect">
          <a:avLst/>
        </a:prstGeom>
        <a:gradFill flip="none" rotWithShape="1">
          <a:gsLst>
            <a:gs pos="0">
              <a:schemeClr val="dk1">
                <a:lumMod val="67000"/>
              </a:schemeClr>
            </a:gs>
            <a:gs pos="81000">
              <a:schemeClr val="tx1">
                <a:alpha val="95000"/>
                <a:lumMod val="55000"/>
                <a:lumOff val="4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fld id="{FC514027-A9C5-47DA-865E-270A569DEB28}" type="TxLink">
            <a:rPr lang="en-US" sz="1100" b="0" i="0" u="none" strike="noStrike">
              <a:solidFill>
                <a:schemeClr val="bg1">
                  <a:lumMod val="95000"/>
                </a:schemeClr>
              </a:solidFill>
              <a:effectLst/>
              <a:latin typeface="Calibri"/>
              <a:ea typeface="+mn-ea"/>
              <a:cs typeface="Calibri"/>
            </a:rPr>
            <a:pPr marL="0" indent="0" algn="l"/>
            <a:t>Return Rate: 34.6%</a:t>
          </a:fld>
          <a:endParaRPr lang="en-IN" sz="1100" b="0" i="0" u="none" strike="noStrike">
            <a:solidFill>
              <a:schemeClr val="bg1">
                <a:lumMod val="95000"/>
              </a:schemeClr>
            </a:solidFill>
            <a:effectLst/>
            <a:latin typeface="Calibri"/>
            <a:ea typeface="+mn-ea"/>
            <a:cs typeface="Calibri"/>
          </a:endParaRPr>
        </a:p>
      </xdr:txBody>
    </xdr:sp>
    <xdr:clientData/>
  </xdr:twoCellAnchor>
  <xdr:twoCellAnchor>
    <xdr:from>
      <xdr:col>7</xdr:col>
      <xdr:colOff>495299</xdr:colOff>
      <xdr:row>0</xdr:row>
      <xdr:rowOff>142873</xdr:rowOff>
    </xdr:from>
    <xdr:to>
      <xdr:col>9</xdr:col>
      <xdr:colOff>392099</xdr:colOff>
      <xdr:row>3</xdr:row>
      <xdr:rowOff>111373</xdr:rowOff>
    </xdr:to>
    <xdr:sp macro="" textlink="Pivot_Summary!B20">
      <xdr:nvSpPr>
        <xdr:cNvPr id="21" name="Rectangle: Rounded Corners 20">
          <a:extLst>
            <a:ext uri="{FF2B5EF4-FFF2-40B4-BE49-F238E27FC236}">
              <a16:creationId xmlns:a16="http://schemas.microsoft.com/office/drawing/2014/main" id="{9A75685F-8677-4C30-93D0-FC8E1B8273CA}"/>
            </a:ext>
          </a:extLst>
        </xdr:cNvPr>
        <xdr:cNvSpPr/>
      </xdr:nvSpPr>
      <xdr:spPr>
        <a:xfrm>
          <a:off x="4762499" y="142873"/>
          <a:ext cx="1116000" cy="540000"/>
        </a:xfrm>
        <a:prstGeom prst="roundRect">
          <a:avLst/>
        </a:prstGeom>
        <a:gradFill flip="none" rotWithShape="1">
          <a:gsLst>
            <a:gs pos="0">
              <a:schemeClr val="dk1">
                <a:lumMod val="67000"/>
              </a:schemeClr>
            </a:gs>
            <a:gs pos="81000">
              <a:schemeClr val="tx1">
                <a:alpha val="95000"/>
                <a:lumMod val="55000"/>
                <a:lumOff val="4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fld id="{4807657A-423E-4F61-9695-EC3AEA84CF9C}" type="TxLink">
            <a:rPr lang="en-US" sz="1100" b="0" i="0" u="none" strike="noStrike">
              <a:solidFill>
                <a:schemeClr val="bg1">
                  <a:lumMod val="95000"/>
                </a:schemeClr>
              </a:solidFill>
              <a:effectLst/>
              <a:latin typeface="Calibri"/>
              <a:ea typeface="+mn-ea"/>
              <a:cs typeface="Calibri"/>
            </a:rPr>
            <a:pPr marL="0" indent="0" algn="l"/>
            <a:t>Total Profit: ₹4,83,100</a:t>
          </a:fld>
          <a:endParaRPr lang="en-US" sz="1100" b="0" i="0" u="none" strike="noStrike">
            <a:solidFill>
              <a:schemeClr val="bg1">
                <a:lumMod val="95000"/>
              </a:schemeClr>
            </a:solidFill>
            <a:effectLst/>
            <a:latin typeface="Calibri"/>
            <a:ea typeface="+mn-ea"/>
            <a:cs typeface="Calibri"/>
          </a:endParaRPr>
        </a:p>
      </xdr:txBody>
    </xdr:sp>
    <xdr:clientData/>
  </xdr:twoCellAnchor>
  <xdr:twoCellAnchor>
    <xdr:from>
      <xdr:col>15</xdr:col>
      <xdr:colOff>152400</xdr:colOff>
      <xdr:row>12</xdr:row>
      <xdr:rowOff>180975</xdr:rowOff>
    </xdr:from>
    <xdr:to>
      <xdr:col>16</xdr:col>
      <xdr:colOff>466725</xdr:colOff>
      <xdr:row>14</xdr:row>
      <xdr:rowOff>57150</xdr:rowOff>
    </xdr:to>
    <xdr:sp macro="[0]!ResetSlicers" textlink="">
      <xdr:nvSpPr>
        <xdr:cNvPr id="23" name="Rectangle 22">
          <a:extLst>
            <a:ext uri="{FF2B5EF4-FFF2-40B4-BE49-F238E27FC236}">
              <a16:creationId xmlns:a16="http://schemas.microsoft.com/office/drawing/2014/main" id="{40E2CE22-98BD-42A0-9A80-4EB673BA4731}"/>
            </a:ext>
          </a:extLst>
        </xdr:cNvPr>
        <xdr:cNvSpPr/>
      </xdr:nvSpPr>
      <xdr:spPr>
        <a:xfrm>
          <a:off x="9296400" y="2466975"/>
          <a:ext cx="923925" cy="257175"/>
        </a:xfrm>
        <a:prstGeom prst="rect">
          <a:avLst/>
        </a:prstGeom>
        <a:gradFill flip="none" rotWithShape="1">
          <a:gsLst>
            <a:gs pos="0">
              <a:schemeClr val="dk1">
                <a:lumMod val="67000"/>
              </a:schemeClr>
            </a:gs>
            <a:gs pos="81000">
              <a:schemeClr val="tx1">
                <a:alpha val="95000"/>
                <a:lumMod val="55000"/>
                <a:lumOff val="4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r>
            <a:rPr lang="en-IN" sz="1100" b="0" i="0" u="none" strike="noStrike">
              <a:solidFill>
                <a:schemeClr val="bg1">
                  <a:lumMod val="95000"/>
                </a:schemeClr>
              </a:solidFill>
              <a:effectLst/>
              <a:latin typeface="Calibri"/>
              <a:ea typeface="+mn-ea"/>
              <a:cs typeface="Calibri"/>
            </a:rPr>
            <a:t>Reset Slicers</a:t>
          </a:r>
        </a:p>
      </xdr:txBody>
    </xdr:sp>
    <xdr:clientData/>
  </xdr:twoCellAnchor>
  <xdr:twoCellAnchor>
    <xdr:from>
      <xdr:col>5</xdr:col>
      <xdr:colOff>333372</xdr:colOff>
      <xdr:row>0</xdr:row>
      <xdr:rowOff>133350</xdr:rowOff>
    </xdr:from>
    <xdr:to>
      <xdr:col>7</xdr:col>
      <xdr:colOff>266699</xdr:colOff>
      <xdr:row>3</xdr:row>
      <xdr:rowOff>120899</xdr:rowOff>
    </xdr:to>
    <xdr:sp macro="" textlink="Pivot_Summary!B16">
      <xdr:nvSpPr>
        <xdr:cNvPr id="20" name="Rectangle: Rounded Corners 19">
          <a:extLst>
            <a:ext uri="{FF2B5EF4-FFF2-40B4-BE49-F238E27FC236}">
              <a16:creationId xmlns:a16="http://schemas.microsoft.com/office/drawing/2014/main" id="{EEC5BAB9-93FA-4D16-8EBC-08F1B4982BFF}"/>
            </a:ext>
          </a:extLst>
        </xdr:cNvPr>
        <xdr:cNvSpPr/>
      </xdr:nvSpPr>
      <xdr:spPr>
        <a:xfrm>
          <a:off x="3381372" y="133350"/>
          <a:ext cx="1152527" cy="559049"/>
        </a:xfrm>
        <a:prstGeom prst="roundRect">
          <a:avLst/>
        </a:prstGeom>
        <a:gradFill flip="none" rotWithShape="1">
          <a:gsLst>
            <a:gs pos="0">
              <a:schemeClr val="dk1">
                <a:lumMod val="67000"/>
              </a:schemeClr>
            </a:gs>
            <a:gs pos="81000">
              <a:schemeClr val="tx1">
                <a:alpha val="95000"/>
                <a:lumMod val="55000"/>
                <a:lumOff val="4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fld id="{C5A4AA62-53E9-40DD-97DF-A61382144920}" type="TxLink">
            <a:rPr lang="en-US" sz="1100" b="0" i="0" u="none" strike="noStrike">
              <a:solidFill>
                <a:schemeClr val="bg1">
                  <a:lumMod val="95000"/>
                </a:schemeClr>
              </a:solidFill>
              <a:effectLst/>
              <a:latin typeface="Calibri"/>
              <a:ea typeface="+mn-ea"/>
              <a:cs typeface="Calibri"/>
            </a:rPr>
            <a:pPr marL="0" indent="0" algn="l"/>
            <a:t>Total Revenue: ₹13,97,800</a:t>
          </a:fld>
          <a:endParaRPr lang="en-US" sz="1100" b="0" i="0" u="none" strike="noStrike">
            <a:solidFill>
              <a:schemeClr val="bg1">
                <a:lumMod val="95000"/>
              </a:schemeClr>
            </a:solidFill>
            <a:effectLst/>
            <a:latin typeface="Calibri"/>
            <a:ea typeface="+mn-ea"/>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891.537565393519" createdVersion="6" refreshedVersion="6" minRefreshableVersion="3" recordCount="200" xr:uid="{A3168C1E-E590-4FC1-ABA9-3A25C0025B91}">
  <cacheSource type="worksheet">
    <worksheetSource ref="A1:K201" sheet="Sheet1"/>
  </cacheSource>
  <cacheFields count="12">
    <cacheField name="Order ID" numFmtId="0">
      <sharedItems/>
    </cacheField>
    <cacheField name="Date" numFmtId="14">
      <sharedItems containsSemiMixedTypes="0" containsNonDate="0" containsDate="1" containsString="0" minDate="2025-01-25T00:00:00" maxDate="2025-07-27T00:00:00" count="119">
        <d v="2025-05-07T00:00:00"/>
        <d v="2025-05-27T00:00:00"/>
        <d v="2025-03-09T00:00:00"/>
        <d v="2025-05-11T00:00:00"/>
        <d v="2025-05-05T00:00:00"/>
        <d v="2025-01-26T00:00:00"/>
        <d v="2025-03-06T00:00:00"/>
        <d v="2025-06-11T00:00:00"/>
        <d v="2025-03-21T00:00:00"/>
        <d v="2025-05-03T00:00:00"/>
        <d v="2025-06-02T00:00:00"/>
        <d v="2025-03-13T00:00:00"/>
        <d v="2025-03-03T00:00:00"/>
        <d v="2025-06-06T00:00:00"/>
        <d v="2025-04-06T00:00:00"/>
        <d v="2025-07-15T00:00:00"/>
        <d v="2025-01-30T00:00:00"/>
        <d v="2025-04-03T00:00:00"/>
        <d v="2025-07-25T00:00:00"/>
        <d v="2025-02-26T00:00:00"/>
        <d v="2025-06-17T00:00:00"/>
        <d v="2025-05-19T00:00:00"/>
        <d v="2025-03-26T00:00:00"/>
        <d v="2025-05-22T00:00:00"/>
        <d v="2025-07-23T00:00:00"/>
        <d v="2025-07-08T00:00:00"/>
        <d v="2025-04-15T00:00:00"/>
        <d v="2025-06-21T00:00:00"/>
        <d v="2025-03-02T00:00:00"/>
        <d v="2025-04-18T00:00:00"/>
        <d v="2025-06-19T00:00:00"/>
        <d v="2025-02-25T00:00:00"/>
        <d v="2025-02-12T00:00:00"/>
        <d v="2025-06-04T00:00:00"/>
        <d v="2025-07-05T00:00:00"/>
        <d v="2025-02-02T00:00:00"/>
        <d v="2025-01-25T00:00:00"/>
        <d v="2025-04-04T00:00:00"/>
        <d v="2025-03-12T00:00:00"/>
        <d v="2025-07-01T00:00:00"/>
        <d v="2025-04-01T00:00:00"/>
        <d v="2025-04-22T00:00:00"/>
        <d v="2025-07-09T00:00:00"/>
        <d v="2025-02-21T00:00:00"/>
        <d v="2025-02-27T00:00:00"/>
        <d v="2025-04-27T00:00:00"/>
        <d v="2025-06-29T00:00:00"/>
        <d v="2025-02-05T00:00:00"/>
        <d v="2025-07-26T00:00:00"/>
        <d v="2025-03-08T00:00:00"/>
        <d v="2025-05-21T00:00:00"/>
        <d v="2025-06-24T00:00:00"/>
        <d v="2025-04-13T00:00:00"/>
        <d v="2025-03-16T00:00:00"/>
        <d v="2025-03-04T00:00:00"/>
        <d v="2025-05-20T00:00:00"/>
        <d v="2025-02-06T00:00:00"/>
        <d v="2025-04-05T00:00:00"/>
        <d v="2025-02-08T00:00:00"/>
        <d v="2025-06-26T00:00:00"/>
        <d v="2025-01-29T00:00:00"/>
        <d v="2025-05-13T00:00:00"/>
        <d v="2025-05-28T00:00:00"/>
        <d v="2025-02-07T00:00:00"/>
        <d v="2025-06-07T00:00:00"/>
        <d v="2025-06-10T00:00:00"/>
        <d v="2025-03-20T00:00:00"/>
        <d v="2025-07-20T00:00:00"/>
        <d v="2025-05-18T00:00:00"/>
        <d v="2025-02-14T00:00:00"/>
        <d v="2025-04-30T00:00:00"/>
        <d v="2025-01-27T00:00:00"/>
        <d v="2025-03-30T00:00:00"/>
        <d v="2025-03-10T00:00:00"/>
        <d v="2025-01-31T00:00:00"/>
        <d v="2025-07-13T00:00:00"/>
        <d v="2025-07-11T00:00:00"/>
        <d v="2025-05-04T00:00:00"/>
        <d v="2025-03-19T00:00:00"/>
        <d v="2025-07-19T00:00:00"/>
        <d v="2025-02-28T00:00:00"/>
        <d v="2025-04-12T00:00:00"/>
        <d v="2025-05-31T00:00:00"/>
        <d v="2025-03-29T00:00:00"/>
        <d v="2025-06-14T00:00:00"/>
        <d v="2025-07-04T00:00:00"/>
        <d v="2025-04-19T00:00:00"/>
        <d v="2025-02-13T00:00:00"/>
        <d v="2025-03-23T00:00:00"/>
        <d v="2025-06-12T00:00:00"/>
        <d v="2025-05-15T00:00:00"/>
        <d v="2025-04-26T00:00:00"/>
        <d v="2025-04-23T00:00:00"/>
        <d v="2025-06-01T00:00:00"/>
        <d v="2025-06-18T00:00:00"/>
        <d v="2025-07-22T00:00:00"/>
        <d v="2025-02-24T00:00:00"/>
        <d v="2025-02-10T00:00:00"/>
        <d v="2025-02-04T00:00:00"/>
        <d v="2025-06-03T00:00:00"/>
        <d v="2025-05-02T00:00:00"/>
        <d v="2025-07-14T00:00:00"/>
        <d v="2025-03-11T00:00:00"/>
        <d v="2025-05-30T00:00:00"/>
        <d v="2025-04-11T00:00:00"/>
        <d v="2025-06-09T00:00:00"/>
        <d v="2025-04-20T00:00:00"/>
        <d v="2025-03-24T00:00:00"/>
        <d v="2025-02-19T00:00:00"/>
        <d v="2025-05-09T00:00:00"/>
        <d v="2025-03-17T00:00:00"/>
        <d v="2025-02-01T00:00:00"/>
        <d v="2025-05-01T00:00:00"/>
        <d v="2025-07-16T00:00:00"/>
        <d v="2025-01-28T00:00:00"/>
        <d v="2025-04-16T00:00:00"/>
        <d v="2025-04-24T00:00:00"/>
        <d v="2025-04-25T00:00:00"/>
        <d v="2025-03-05T00:00:00"/>
      </sharedItems>
      <fieldGroup par="11" base="1">
        <rangePr groupBy="months" startDate="2025-01-25T00:00:00" endDate="2025-07-27T00:00:00"/>
        <groupItems count="14">
          <s v="&lt;25-01-2025"/>
          <s v="Jan"/>
          <s v="Feb"/>
          <s v="Mar"/>
          <s v="Apr"/>
          <s v="May"/>
          <s v="Jun"/>
          <s v="Jul"/>
          <s v="Aug"/>
          <s v="Sep"/>
          <s v="Oct"/>
          <s v="Nov"/>
          <s v="Dec"/>
          <s v="&gt;27-07-2025"/>
        </groupItems>
      </fieldGroup>
    </cacheField>
    <cacheField name="Product" numFmtId="0">
      <sharedItems count="10">
        <s v="Shoes"/>
        <s v="Jeans"/>
        <s v="T-shirt"/>
        <s v="Sandals"/>
        <s v="Backpack"/>
        <s v="Watch"/>
        <s v="Cap"/>
        <s v="Sunglasses"/>
        <s v="Wallet"/>
        <s v="Jacket"/>
      </sharedItems>
    </cacheField>
    <cacheField name="Category" numFmtId="0">
      <sharedItems count="3">
        <s v="Footwear"/>
        <s v="Clothing"/>
        <s v="Accessories"/>
      </sharedItems>
    </cacheField>
    <cacheField name="Region" numFmtId="0">
      <sharedItems count="4">
        <s v="East"/>
        <s v="North"/>
        <s v="South"/>
        <s v="West"/>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300" maxValue="3000"/>
    </cacheField>
    <cacheField name="Cost Price" numFmtId="0">
      <sharedItems containsSemiMixedTypes="0" containsString="0" containsNumber="1" containsInteger="1" minValue="150" maxValue="2000"/>
    </cacheField>
    <cacheField name="Return" numFmtId="0">
      <sharedItems count="2">
        <s v="No"/>
        <s v="Yes"/>
      </sharedItems>
    </cacheField>
    <cacheField name="Revenue" numFmtId="0">
      <sharedItems containsSemiMixedTypes="0" containsString="0" containsNumber="1" containsInteger="1" minValue="300" maxValue="24000"/>
    </cacheField>
    <cacheField name="Profit" numFmtId="0">
      <sharedItems containsSemiMixedTypes="0" containsString="0" containsNumber="1" containsInteger="1" minValue="150" maxValue="8000"/>
    </cacheField>
    <cacheField name="Years" numFmtId="0" databaseField="0">
      <fieldGroup base="1">
        <rangePr groupBy="years" startDate="2025-01-25T00:00:00" endDate="2025-07-27T00:00:00"/>
        <groupItems count="3">
          <s v="&lt;25-01-2025"/>
          <s v="2025"/>
          <s v="&gt;27-07-2025"/>
        </groupItems>
      </fieldGroup>
    </cacheField>
  </cacheFields>
  <extLst>
    <ext xmlns:x14="http://schemas.microsoft.com/office/spreadsheetml/2009/9/main" uri="{725AE2AE-9491-48be-B2B4-4EB974FC3084}">
      <x14:pivotCacheDefinition pivotCacheId="4419983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ORD0001"/>
    <x v="0"/>
    <x v="0"/>
    <x v="0"/>
    <x v="0"/>
    <n v="1"/>
    <n v="2000"/>
    <n v="1400"/>
    <x v="0"/>
    <n v="2000"/>
    <n v="600"/>
  </r>
  <r>
    <s v="ORD0002"/>
    <x v="1"/>
    <x v="1"/>
    <x v="1"/>
    <x v="1"/>
    <n v="2"/>
    <n v="1500"/>
    <n v="900"/>
    <x v="0"/>
    <n v="3000"/>
    <n v="1200"/>
  </r>
  <r>
    <s v="ORD0003"/>
    <x v="2"/>
    <x v="2"/>
    <x v="1"/>
    <x v="1"/>
    <n v="1"/>
    <n v="500"/>
    <n v="300"/>
    <x v="0"/>
    <n v="500"/>
    <n v="200"/>
  </r>
  <r>
    <s v="ORD0004"/>
    <x v="3"/>
    <x v="3"/>
    <x v="0"/>
    <x v="1"/>
    <n v="10"/>
    <n v="800"/>
    <n v="500"/>
    <x v="0"/>
    <n v="8000"/>
    <n v="3000"/>
  </r>
  <r>
    <s v="ORD0005"/>
    <x v="4"/>
    <x v="3"/>
    <x v="0"/>
    <x v="2"/>
    <n v="7"/>
    <n v="800"/>
    <n v="500"/>
    <x v="0"/>
    <n v="5600"/>
    <n v="2100"/>
  </r>
  <r>
    <s v="ORD0006"/>
    <x v="5"/>
    <x v="4"/>
    <x v="2"/>
    <x v="2"/>
    <n v="1"/>
    <n v="1200"/>
    <n v="800"/>
    <x v="0"/>
    <n v="1200"/>
    <n v="400"/>
  </r>
  <r>
    <s v="ORD0007"/>
    <x v="6"/>
    <x v="5"/>
    <x v="2"/>
    <x v="2"/>
    <n v="5"/>
    <n v="3000"/>
    <n v="2000"/>
    <x v="0"/>
    <n v="15000"/>
    <n v="5000"/>
  </r>
  <r>
    <s v="ORD0008"/>
    <x v="7"/>
    <x v="5"/>
    <x v="2"/>
    <x v="1"/>
    <n v="2"/>
    <n v="3000"/>
    <n v="2000"/>
    <x v="0"/>
    <n v="6000"/>
    <n v="2000"/>
  </r>
  <r>
    <s v="ORD0009"/>
    <x v="8"/>
    <x v="5"/>
    <x v="2"/>
    <x v="0"/>
    <n v="6"/>
    <n v="3000"/>
    <n v="2000"/>
    <x v="0"/>
    <n v="18000"/>
    <n v="6000"/>
  </r>
  <r>
    <s v="ORD0010"/>
    <x v="9"/>
    <x v="6"/>
    <x v="1"/>
    <x v="1"/>
    <n v="9"/>
    <n v="300"/>
    <n v="150"/>
    <x v="0"/>
    <n v="2700"/>
    <n v="1350"/>
  </r>
  <r>
    <s v="ORD0011"/>
    <x v="10"/>
    <x v="7"/>
    <x v="2"/>
    <x v="0"/>
    <n v="2"/>
    <n v="1000"/>
    <n v="600"/>
    <x v="0"/>
    <n v="2000"/>
    <n v="800"/>
  </r>
  <r>
    <s v="ORD0012"/>
    <x v="11"/>
    <x v="8"/>
    <x v="2"/>
    <x v="2"/>
    <n v="6"/>
    <n v="700"/>
    <n v="400"/>
    <x v="0"/>
    <n v="4200"/>
    <n v="1800"/>
  </r>
  <r>
    <s v="ORD0013"/>
    <x v="12"/>
    <x v="2"/>
    <x v="1"/>
    <x v="0"/>
    <n v="4"/>
    <n v="500"/>
    <n v="300"/>
    <x v="0"/>
    <n v="2000"/>
    <n v="800"/>
  </r>
  <r>
    <s v="ORD0014"/>
    <x v="13"/>
    <x v="9"/>
    <x v="1"/>
    <x v="3"/>
    <n v="2"/>
    <n v="2500"/>
    <n v="1800"/>
    <x v="0"/>
    <n v="5000"/>
    <n v="1400"/>
  </r>
  <r>
    <s v="ORD0015"/>
    <x v="14"/>
    <x v="5"/>
    <x v="2"/>
    <x v="0"/>
    <n v="3"/>
    <n v="3000"/>
    <n v="2000"/>
    <x v="0"/>
    <n v="9000"/>
    <n v="3000"/>
  </r>
  <r>
    <s v="ORD0016"/>
    <x v="15"/>
    <x v="4"/>
    <x v="2"/>
    <x v="2"/>
    <n v="2"/>
    <n v="1200"/>
    <n v="800"/>
    <x v="0"/>
    <n v="2400"/>
    <n v="800"/>
  </r>
  <r>
    <s v="ORD0017"/>
    <x v="16"/>
    <x v="9"/>
    <x v="1"/>
    <x v="3"/>
    <n v="3"/>
    <n v="2500"/>
    <n v="1800"/>
    <x v="0"/>
    <n v="7500"/>
    <n v="2100"/>
  </r>
  <r>
    <s v="ORD0018"/>
    <x v="17"/>
    <x v="3"/>
    <x v="0"/>
    <x v="0"/>
    <n v="4"/>
    <n v="800"/>
    <n v="500"/>
    <x v="0"/>
    <n v="3200"/>
    <n v="1200"/>
  </r>
  <r>
    <s v="ORD0019"/>
    <x v="4"/>
    <x v="2"/>
    <x v="1"/>
    <x v="1"/>
    <n v="4"/>
    <n v="500"/>
    <n v="300"/>
    <x v="0"/>
    <n v="2000"/>
    <n v="800"/>
  </r>
  <r>
    <s v="ORD0020"/>
    <x v="18"/>
    <x v="7"/>
    <x v="2"/>
    <x v="1"/>
    <n v="5"/>
    <n v="1000"/>
    <n v="600"/>
    <x v="0"/>
    <n v="5000"/>
    <n v="2000"/>
  </r>
  <r>
    <s v="ORD0021"/>
    <x v="19"/>
    <x v="8"/>
    <x v="2"/>
    <x v="2"/>
    <n v="6"/>
    <n v="700"/>
    <n v="400"/>
    <x v="0"/>
    <n v="4200"/>
    <n v="1800"/>
  </r>
  <r>
    <s v="ORD0022"/>
    <x v="20"/>
    <x v="7"/>
    <x v="2"/>
    <x v="2"/>
    <n v="8"/>
    <n v="1000"/>
    <n v="600"/>
    <x v="0"/>
    <n v="8000"/>
    <n v="3200"/>
  </r>
  <r>
    <s v="ORD0023"/>
    <x v="21"/>
    <x v="9"/>
    <x v="1"/>
    <x v="0"/>
    <n v="9"/>
    <n v="2500"/>
    <n v="1800"/>
    <x v="0"/>
    <n v="22500"/>
    <n v="6300"/>
  </r>
  <r>
    <s v="ORD0024"/>
    <x v="22"/>
    <x v="7"/>
    <x v="2"/>
    <x v="3"/>
    <n v="10"/>
    <n v="1000"/>
    <n v="600"/>
    <x v="0"/>
    <n v="10000"/>
    <n v="4000"/>
  </r>
  <r>
    <s v="ORD0025"/>
    <x v="23"/>
    <x v="1"/>
    <x v="1"/>
    <x v="3"/>
    <n v="9"/>
    <n v="1500"/>
    <n v="900"/>
    <x v="1"/>
    <n v="13500"/>
    <n v="5400"/>
  </r>
  <r>
    <s v="ORD0026"/>
    <x v="24"/>
    <x v="2"/>
    <x v="1"/>
    <x v="2"/>
    <n v="2"/>
    <n v="500"/>
    <n v="300"/>
    <x v="0"/>
    <n v="1000"/>
    <n v="400"/>
  </r>
  <r>
    <s v="ORD0027"/>
    <x v="25"/>
    <x v="7"/>
    <x v="2"/>
    <x v="1"/>
    <n v="10"/>
    <n v="1000"/>
    <n v="600"/>
    <x v="0"/>
    <n v="10000"/>
    <n v="4000"/>
  </r>
  <r>
    <s v="ORD0028"/>
    <x v="26"/>
    <x v="8"/>
    <x v="2"/>
    <x v="0"/>
    <n v="8"/>
    <n v="700"/>
    <n v="400"/>
    <x v="0"/>
    <n v="5600"/>
    <n v="2400"/>
  </r>
  <r>
    <s v="ORD0029"/>
    <x v="6"/>
    <x v="2"/>
    <x v="1"/>
    <x v="0"/>
    <n v="2"/>
    <n v="500"/>
    <n v="300"/>
    <x v="0"/>
    <n v="1000"/>
    <n v="400"/>
  </r>
  <r>
    <s v="ORD0030"/>
    <x v="27"/>
    <x v="5"/>
    <x v="2"/>
    <x v="0"/>
    <n v="2"/>
    <n v="3000"/>
    <n v="2000"/>
    <x v="0"/>
    <n v="6000"/>
    <n v="2000"/>
  </r>
  <r>
    <s v="ORD0031"/>
    <x v="28"/>
    <x v="6"/>
    <x v="1"/>
    <x v="0"/>
    <n v="1"/>
    <n v="300"/>
    <n v="150"/>
    <x v="0"/>
    <n v="300"/>
    <n v="150"/>
  </r>
  <r>
    <s v="ORD0032"/>
    <x v="29"/>
    <x v="1"/>
    <x v="1"/>
    <x v="1"/>
    <n v="9"/>
    <n v="1500"/>
    <n v="900"/>
    <x v="0"/>
    <n v="13500"/>
    <n v="5400"/>
  </r>
  <r>
    <s v="ORD0033"/>
    <x v="30"/>
    <x v="4"/>
    <x v="2"/>
    <x v="2"/>
    <n v="9"/>
    <n v="1200"/>
    <n v="800"/>
    <x v="0"/>
    <n v="10800"/>
    <n v="3600"/>
  </r>
  <r>
    <s v="ORD0034"/>
    <x v="7"/>
    <x v="1"/>
    <x v="1"/>
    <x v="1"/>
    <n v="9"/>
    <n v="1500"/>
    <n v="900"/>
    <x v="0"/>
    <n v="13500"/>
    <n v="5400"/>
  </r>
  <r>
    <s v="ORD0035"/>
    <x v="31"/>
    <x v="6"/>
    <x v="1"/>
    <x v="1"/>
    <n v="1"/>
    <n v="300"/>
    <n v="150"/>
    <x v="0"/>
    <n v="300"/>
    <n v="150"/>
  </r>
  <r>
    <s v="ORD0036"/>
    <x v="8"/>
    <x v="4"/>
    <x v="2"/>
    <x v="1"/>
    <n v="4"/>
    <n v="1200"/>
    <n v="800"/>
    <x v="0"/>
    <n v="4800"/>
    <n v="1600"/>
  </r>
  <r>
    <s v="ORD0037"/>
    <x v="32"/>
    <x v="8"/>
    <x v="2"/>
    <x v="1"/>
    <n v="2"/>
    <n v="700"/>
    <n v="400"/>
    <x v="0"/>
    <n v="1400"/>
    <n v="600"/>
  </r>
  <r>
    <s v="ORD0038"/>
    <x v="33"/>
    <x v="0"/>
    <x v="0"/>
    <x v="2"/>
    <n v="9"/>
    <n v="2000"/>
    <n v="1400"/>
    <x v="0"/>
    <n v="18000"/>
    <n v="5400"/>
  </r>
  <r>
    <s v="ORD0039"/>
    <x v="27"/>
    <x v="6"/>
    <x v="1"/>
    <x v="2"/>
    <n v="9"/>
    <n v="300"/>
    <n v="150"/>
    <x v="0"/>
    <n v="2700"/>
    <n v="1350"/>
  </r>
  <r>
    <s v="ORD0040"/>
    <x v="16"/>
    <x v="8"/>
    <x v="2"/>
    <x v="2"/>
    <n v="7"/>
    <n v="700"/>
    <n v="400"/>
    <x v="0"/>
    <n v="4900"/>
    <n v="2100"/>
  </r>
  <r>
    <s v="ORD0041"/>
    <x v="32"/>
    <x v="9"/>
    <x v="1"/>
    <x v="3"/>
    <n v="5"/>
    <n v="2500"/>
    <n v="1800"/>
    <x v="0"/>
    <n v="12500"/>
    <n v="3500"/>
  </r>
  <r>
    <s v="ORD0042"/>
    <x v="34"/>
    <x v="5"/>
    <x v="2"/>
    <x v="3"/>
    <n v="8"/>
    <n v="3000"/>
    <n v="2000"/>
    <x v="0"/>
    <n v="24000"/>
    <n v="8000"/>
  </r>
  <r>
    <s v="ORD0043"/>
    <x v="35"/>
    <x v="9"/>
    <x v="1"/>
    <x v="0"/>
    <n v="2"/>
    <n v="2500"/>
    <n v="1800"/>
    <x v="1"/>
    <n v="5000"/>
    <n v="1400"/>
  </r>
  <r>
    <s v="ORD0044"/>
    <x v="36"/>
    <x v="3"/>
    <x v="0"/>
    <x v="2"/>
    <n v="4"/>
    <n v="800"/>
    <n v="500"/>
    <x v="1"/>
    <n v="3200"/>
    <n v="1200"/>
  </r>
  <r>
    <s v="ORD0045"/>
    <x v="37"/>
    <x v="2"/>
    <x v="1"/>
    <x v="1"/>
    <n v="4"/>
    <n v="500"/>
    <n v="300"/>
    <x v="0"/>
    <n v="2000"/>
    <n v="800"/>
  </r>
  <r>
    <s v="ORD0046"/>
    <x v="38"/>
    <x v="5"/>
    <x v="2"/>
    <x v="2"/>
    <n v="2"/>
    <n v="3000"/>
    <n v="2000"/>
    <x v="0"/>
    <n v="6000"/>
    <n v="2000"/>
  </r>
  <r>
    <s v="ORD0047"/>
    <x v="24"/>
    <x v="6"/>
    <x v="1"/>
    <x v="2"/>
    <n v="4"/>
    <n v="300"/>
    <n v="150"/>
    <x v="0"/>
    <n v="1200"/>
    <n v="600"/>
  </r>
  <r>
    <s v="ORD0048"/>
    <x v="39"/>
    <x v="8"/>
    <x v="2"/>
    <x v="3"/>
    <n v="10"/>
    <n v="700"/>
    <n v="400"/>
    <x v="0"/>
    <n v="7000"/>
    <n v="3000"/>
  </r>
  <r>
    <s v="ORD0049"/>
    <x v="23"/>
    <x v="6"/>
    <x v="1"/>
    <x v="2"/>
    <n v="7"/>
    <n v="300"/>
    <n v="150"/>
    <x v="1"/>
    <n v="2100"/>
    <n v="1050"/>
  </r>
  <r>
    <s v="ORD0050"/>
    <x v="40"/>
    <x v="7"/>
    <x v="2"/>
    <x v="3"/>
    <n v="6"/>
    <n v="1000"/>
    <n v="600"/>
    <x v="0"/>
    <n v="6000"/>
    <n v="2400"/>
  </r>
  <r>
    <s v="ORD0051"/>
    <x v="41"/>
    <x v="2"/>
    <x v="1"/>
    <x v="1"/>
    <n v="2"/>
    <n v="500"/>
    <n v="300"/>
    <x v="0"/>
    <n v="1000"/>
    <n v="400"/>
  </r>
  <r>
    <s v="ORD0052"/>
    <x v="42"/>
    <x v="5"/>
    <x v="2"/>
    <x v="2"/>
    <n v="2"/>
    <n v="3000"/>
    <n v="2000"/>
    <x v="0"/>
    <n v="6000"/>
    <n v="2000"/>
  </r>
  <r>
    <s v="ORD0053"/>
    <x v="43"/>
    <x v="3"/>
    <x v="0"/>
    <x v="2"/>
    <n v="8"/>
    <n v="800"/>
    <n v="500"/>
    <x v="0"/>
    <n v="6400"/>
    <n v="2400"/>
  </r>
  <r>
    <s v="ORD0054"/>
    <x v="44"/>
    <x v="4"/>
    <x v="2"/>
    <x v="2"/>
    <n v="8"/>
    <n v="1200"/>
    <n v="800"/>
    <x v="0"/>
    <n v="9600"/>
    <n v="3200"/>
  </r>
  <r>
    <s v="ORD0055"/>
    <x v="45"/>
    <x v="0"/>
    <x v="0"/>
    <x v="1"/>
    <n v="8"/>
    <n v="2000"/>
    <n v="1400"/>
    <x v="1"/>
    <n v="16000"/>
    <n v="4800"/>
  </r>
  <r>
    <s v="ORD0056"/>
    <x v="46"/>
    <x v="3"/>
    <x v="0"/>
    <x v="1"/>
    <n v="1"/>
    <n v="800"/>
    <n v="500"/>
    <x v="0"/>
    <n v="800"/>
    <n v="300"/>
  </r>
  <r>
    <s v="ORD0057"/>
    <x v="47"/>
    <x v="9"/>
    <x v="1"/>
    <x v="3"/>
    <n v="3"/>
    <n v="2500"/>
    <n v="1800"/>
    <x v="0"/>
    <n v="7500"/>
    <n v="2100"/>
  </r>
  <r>
    <s v="ORD0058"/>
    <x v="48"/>
    <x v="9"/>
    <x v="1"/>
    <x v="1"/>
    <n v="7"/>
    <n v="2500"/>
    <n v="1800"/>
    <x v="0"/>
    <n v="17500"/>
    <n v="4900"/>
  </r>
  <r>
    <s v="ORD0059"/>
    <x v="49"/>
    <x v="2"/>
    <x v="1"/>
    <x v="0"/>
    <n v="7"/>
    <n v="500"/>
    <n v="300"/>
    <x v="0"/>
    <n v="3500"/>
    <n v="1400"/>
  </r>
  <r>
    <s v="ORD0060"/>
    <x v="50"/>
    <x v="6"/>
    <x v="1"/>
    <x v="3"/>
    <n v="5"/>
    <n v="300"/>
    <n v="150"/>
    <x v="0"/>
    <n v="1500"/>
    <n v="750"/>
  </r>
  <r>
    <s v="ORD0061"/>
    <x v="51"/>
    <x v="3"/>
    <x v="0"/>
    <x v="2"/>
    <n v="8"/>
    <n v="800"/>
    <n v="500"/>
    <x v="0"/>
    <n v="6400"/>
    <n v="2400"/>
  </r>
  <r>
    <s v="ORD0062"/>
    <x v="30"/>
    <x v="9"/>
    <x v="1"/>
    <x v="1"/>
    <n v="1"/>
    <n v="2500"/>
    <n v="1800"/>
    <x v="0"/>
    <n v="2500"/>
    <n v="700"/>
  </r>
  <r>
    <s v="ORD0063"/>
    <x v="52"/>
    <x v="2"/>
    <x v="1"/>
    <x v="3"/>
    <n v="1"/>
    <n v="500"/>
    <n v="300"/>
    <x v="0"/>
    <n v="500"/>
    <n v="200"/>
  </r>
  <r>
    <s v="ORD0064"/>
    <x v="53"/>
    <x v="3"/>
    <x v="0"/>
    <x v="1"/>
    <n v="3"/>
    <n v="800"/>
    <n v="500"/>
    <x v="0"/>
    <n v="2400"/>
    <n v="900"/>
  </r>
  <r>
    <s v="ORD0065"/>
    <x v="54"/>
    <x v="0"/>
    <x v="0"/>
    <x v="1"/>
    <n v="3"/>
    <n v="2000"/>
    <n v="1400"/>
    <x v="0"/>
    <n v="6000"/>
    <n v="1800"/>
  </r>
  <r>
    <s v="ORD0066"/>
    <x v="36"/>
    <x v="9"/>
    <x v="1"/>
    <x v="1"/>
    <n v="7"/>
    <n v="2500"/>
    <n v="1800"/>
    <x v="0"/>
    <n v="17500"/>
    <n v="4900"/>
  </r>
  <r>
    <s v="ORD0067"/>
    <x v="55"/>
    <x v="8"/>
    <x v="2"/>
    <x v="1"/>
    <n v="4"/>
    <n v="700"/>
    <n v="400"/>
    <x v="0"/>
    <n v="2800"/>
    <n v="1200"/>
  </r>
  <r>
    <s v="ORD0068"/>
    <x v="56"/>
    <x v="7"/>
    <x v="2"/>
    <x v="0"/>
    <n v="10"/>
    <n v="1000"/>
    <n v="600"/>
    <x v="0"/>
    <n v="10000"/>
    <n v="4000"/>
  </r>
  <r>
    <s v="ORD0069"/>
    <x v="57"/>
    <x v="9"/>
    <x v="1"/>
    <x v="2"/>
    <n v="6"/>
    <n v="2500"/>
    <n v="1800"/>
    <x v="0"/>
    <n v="15000"/>
    <n v="4200"/>
  </r>
  <r>
    <s v="ORD0070"/>
    <x v="26"/>
    <x v="1"/>
    <x v="1"/>
    <x v="3"/>
    <n v="5"/>
    <n v="1500"/>
    <n v="900"/>
    <x v="0"/>
    <n v="7500"/>
    <n v="3000"/>
  </r>
  <r>
    <s v="ORD0071"/>
    <x v="58"/>
    <x v="0"/>
    <x v="0"/>
    <x v="3"/>
    <n v="1"/>
    <n v="2000"/>
    <n v="1400"/>
    <x v="0"/>
    <n v="2000"/>
    <n v="600"/>
  </r>
  <r>
    <s v="ORD0072"/>
    <x v="59"/>
    <x v="8"/>
    <x v="2"/>
    <x v="1"/>
    <n v="2"/>
    <n v="700"/>
    <n v="400"/>
    <x v="0"/>
    <n v="1400"/>
    <n v="600"/>
  </r>
  <r>
    <s v="ORD0073"/>
    <x v="60"/>
    <x v="3"/>
    <x v="0"/>
    <x v="2"/>
    <n v="5"/>
    <n v="800"/>
    <n v="500"/>
    <x v="0"/>
    <n v="4000"/>
    <n v="1500"/>
  </r>
  <r>
    <s v="ORD0074"/>
    <x v="61"/>
    <x v="0"/>
    <x v="0"/>
    <x v="0"/>
    <n v="4"/>
    <n v="2000"/>
    <n v="1400"/>
    <x v="0"/>
    <n v="8000"/>
    <n v="2400"/>
  </r>
  <r>
    <s v="ORD0075"/>
    <x v="62"/>
    <x v="6"/>
    <x v="1"/>
    <x v="0"/>
    <n v="9"/>
    <n v="300"/>
    <n v="150"/>
    <x v="0"/>
    <n v="2700"/>
    <n v="1350"/>
  </r>
  <r>
    <s v="ORD0076"/>
    <x v="7"/>
    <x v="3"/>
    <x v="0"/>
    <x v="0"/>
    <n v="1"/>
    <n v="800"/>
    <n v="500"/>
    <x v="0"/>
    <n v="800"/>
    <n v="300"/>
  </r>
  <r>
    <s v="ORD0077"/>
    <x v="63"/>
    <x v="0"/>
    <x v="0"/>
    <x v="0"/>
    <n v="3"/>
    <n v="2000"/>
    <n v="1400"/>
    <x v="0"/>
    <n v="6000"/>
    <n v="1800"/>
  </r>
  <r>
    <s v="ORD0078"/>
    <x v="64"/>
    <x v="0"/>
    <x v="0"/>
    <x v="2"/>
    <n v="9"/>
    <n v="2000"/>
    <n v="1400"/>
    <x v="0"/>
    <n v="18000"/>
    <n v="5400"/>
  </r>
  <r>
    <s v="ORD0079"/>
    <x v="65"/>
    <x v="8"/>
    <x v="2"/>
    <x v="0"/>
    <n v="4"/>
    <n v="700"/>
    <n v="400"/>
    <x v="0"/>
    <n v="2800"/>
    <n v="1200"/>
  </r>
  <r>
    <s v="ORD0080"/>
    <x v="66"/>
    <x v="4"/>
    <x v="2"/>
    <x v="3"/>
    <n v="9"/>
    <n v="1200"/>
    <n v="800"/>
    <x v="0"/>
    <n v="10800"/>
    <n v="3600"/>
  </r>
  <r>
    <s v="ORD0081"/>
    <x v="67"/>
    <x v="2"/>
    <x v="1"/>
    <x v="3"/>
    <n v="2"/>
    <n v="500"/>
    <n v="300"/>
    <x v="0"/>
    <n v="1000"/>
    <n v="400"/>
  </r>
  <r>
    <s v="ORD0082"/>
    <x v="68"/>
    <x v="2"/>
    <x v="1"/>
    <x v="0"/>
    <n v="1"/>
    <n v="500"/>
    <n v="300"/>
    <x v="0"/>
    <n v="500"/>
    <n v="200"/>
  </r>
  <r>
    <s v="ORD0083"/>
    <x v="69"/>
    <x v="4"/>
    <x v="2"/>
    <x v="3"/>
    <n v="3"/>
    <n v="1200"/>
    <n v="800"/>
    <x v="0"/>
    <n v="3600"/>
    <n v="1200"/>
  </r>
  <r>
    <s v="ORD0084"/>
    <x v="70"/>
    <x v="7"/>
    <x v="2"/>
    <x v="1"/>
    <n v="9"/>
    <n v="1000"/>
    <n v="600"/>
    <x v="0"/>
    <n v="9000"/>
    <n v="3600"/>
  </r>
  <r>
    <s v="ORD0085"/>
    <x v="54"/>
    <x v="1"/>
    <x v="1"/>
    <x v="1"/>
    <n v="9"/>
    <n v="1500"/>
    <n v="900"/>
    <x v="0"/>
    <n v="13500"/>
    <n v="5400"/>
  </r>
  <r>
    <s v="ORD0086"/>
    <x v="71"/>
    <x v="8"/>
    <x v="2"/>
    <x v="2"/>
    <n v="9"/>
    <n v="700"/>
    <n v="400"/>
    <x v="0"/>
    <n v="6300"/>
    <n v="2700"/>
  </r>
  <r>
    <s v="ORD0087"/>
    <x v="72"/>
    <x v="2"/>
    <x v="1"/>
    <x v="0"/>
    <n v="5"/>
    <n v="500"/>
    <n v="300"/>
    <x v="0"/>
    <n v="2500"/>
    <n v="1000"/>
  </r>
  <r>
    <s v="ORD0088"/>
    <x v="33"/>
    <x v="2"/>
    <x v="1"/>
    <x v="2"/>
    <n v="6"/>
    <n v="500"/>
    <n v="300"/>
    <x v="0"/>
    <n v="3000"/>
    <n v="1200"/>
  </r>
  <r>
    <s v="ORD0089"/>
    <x v="51"/>
    <x v="0"/>
    <x v="0"/>
    <x v="3"/>
    <n v="6"/>
    <n v="2000"/>
    <n v="1400"/>
    <x v="0"/>
    <n v="12000"/>
    <n v="3600"/>
  </r>
  <r>
    <s v="ORD0090"/>
    <x v="73"/>
    <x v="1"/>
    <x v="1"/>
    <x v="2"/>
    <n v="4"/>
    <n v="1500"/>
    <n v="900"/>
    <x v="0"/>
    <n v="6000"/>
    <n v="2400"/>
  </r>
  <r>
    <s v="ORD0091"/>
    <x v="74"/>
    <x v="1"/>
    <x v="1"/>
    <x v="1"/>
    <n v="7"/>
    <n v="1500"/>
    <n v="900"/>
    <x v="0"/>
    <n v="10500"/>
    <n v="4200"/>
  </r>
  <r>
    <s v="ORD0092"/>
    <x v="75"/>
    <x v="5"/>
    <x v="2"/>
    <x v="2"/>
    <n v="7"/>
    <n v="3000"/>
    <n v="2000"/>
    <x v="0"/>
    <n v="21000"/>
    <n v="7000"/>
  </r>
  <r>
    <s v="ORD0093"/>
    <x v="51"/>
    <x v="0"/>
    <x v="0"/>
    <x v="1"/>
    <n v="7"/>
    <n v="2000"/>
    <n v="1400"/>
    <x v="0"/>
    <n v="14000"/>
    <n v="4200"/>
  </r>
  <r>
    <s v="ORD0094"/>
    <x v="67"/>
    <x v="9"/>
    <x v="1"/>
    <x v="3"/>
    <n v="4"/>
    <n v="2500"/>
    <n v="1800"/>
    <x v="0"/>
    <n v="10000"/>
    <n v="2800"/>
  </r>
  <r>
    <s v="ORD0095"/>
    <x v="76"/>
    <x v="9"/>
    <x v="1"/>
    <x v="1"/>
    <n v="4"/>
    <n v="2500"/>
    <n v="1800"/>
    <x v="0"/>
    <n v="10000"/>
    <n v="2800"/>
  </r>
  <r>
    <s v="ORD0096"/>
    <x v="77"/>
    <x v="7"/>
    <x v="2"/>
    <x v="0"/>
    <n v="6"/>
    <n v="1000"/>
    <n v="600"/>
    <x v="0"/>
    <n v="6000"/>
    <n v="2400"/>
  </r>
  <r>
    <s v="ORD0097"/>
    <x v="78"/>
    <x v="4"/>
    <x v="2"/>
    <x v="3"/>
    <n v="6"/>
    <n v="1200"/>
    <n v="800"/>
    <x v="0"/>
    <n v="7200"/>
    <n v="2400"/>
  </r>
  <r>
    <s v="ORD0098"/>
    <x v="36"/>
    <x v="3"/>
    <x v="0"/>
    <x v="1"/>
    <n v="6"/>
    <n v="800"/>
    <n v="500"/>
    <x v="0"/>
    <n v="4800"/>
    <n v="1800"/>
  </r>
  <r>
    <s v="ORD0099"/>
    <x v="67"/>
    <x v="4"/>
    <x v="2"/>
    <x v="0"/>
    <n v="3"/>
    <n v="1200"/>
    <n v="800"/>
    <x v="1"/>
    <n v="3600"/>
    <n v="1200"/>
  </r>
  <r>
    <s v="ORD0100"/>
    <x v="79"/>
    <x v="8"/>
    <x v="2"/>
    <x v="0"/>
    <n v="7"/>
    <n v="700"/>
    <n v="400"/>
    <x v="0"/>
    <n v="4900"/>
    <n v="2100"/>
  </r>
  <r>
    <s v="ORD0101"/>
    <x v="57"/>
    <x v="5"/>
    <x v="2"/>
    <x v="1"/>
    <n v="7"/>
    <n v="3000"/>
    <n v="2000"/>
    <x v="0"/>
    <n v="21000"/>
    <n v="7000"/>
  </r>
  <r>
    <s v="ORD0102"/>
    <x v="41"/>
    <x v="8"/>
    <x v="2"/>
    <x v="0"/>
    <n v="4"/>
    <n v="700"/>
    <n v="400"/>
    <x v="1"/>
    <n v="2800"/>
    <n v="1200"/>
  </r>
  <r>
    <s v="ORD0103"/>
    <x v="80"/>
    <x v="7"/>
    <x v="2"/>
    <x v="2"/>
    <n v="1"/>
    <n v="1000"/>
    <n v="600"/>
    <x v="0"/>
    <n v="1000"/>
    <n v="400"/>
  </r>
  <r>
    <s v="ORD0104"/>
    <x v="81"/>
    <x v="0"/>
    <x v="0"/>
    <x v="0"/>
    <n v="6"/>
    <n v="2000"/>
    <n v="1400"/>
    <x v="0"/>
    <n v="12000"/>
    <n v="3600"/>
  </r>
  <r>
    <s v="ORD0105"/>
    <x v="82"/>
    <x v="0"/>
    <x v="0"/>
    <x v="0"/>
    <n v="5"/>
    <n v="2000"/>
    <n v="1400"/>
    <x v="0"/>
    <n v="10000"/>
    <n v="3000"/>
  </r>
  <r>
    <s v="ORD0106"/>
    <x v="83"/>
    <x v="5"/>
    <x v="2"/>
    <x v="0"/>
    <n v="7"/>
    <n v="3000"/>
    <n v="2000"/>
    <x v="0"/>
    <n v="21000"/>
    <n v="7000"/>
  </r>
  <r>
    <s v="ORD0107"/>
    <x v="59"/>
    <x v="9"/>
    <x v="1"/>
    <x v="3"/>
    <n v="7"/>
    <n v="2500"/>
    <n v="1800"/>
    <x v="0"/>
    <n v="17500"/>
    <n v="4900"/>
  </r>
  <r>
    <s v="ORD0108"/>
    <x v="84"/>
    <x v="1"/>
    <x v="1"/>
    <x v="0"/>
    <n v="10"/>
    <n v="1500"/>
    <n v="900"/>
    <x v="0"/>
    <n v="15000"/>
    <n v="6000"/>
  </r>
  <r>
    <s v="ORD0109"/>
    <x v="85"/>
    <x v="2"/>
    <x v="1"/>
    <x v="0"/>
    <n v="5"/>
    <n v="500"/>
    <n v="300"/>
    <x v="0"/>
    <n v="2500"/>
    <n v="1000"/>
  </r>
  <r>
    <s v="ORD0110"/>
    <x v="86"/>
    <x v="8"/>
    <x v="2"/>
    <x v="0"/>
    <n v="10"/>
    <n v="700"/>
    <n v="400"/>
    <x v="0"/>
    <n v="7000"/>
    <n v="3000"/>
  </r>
  <r>
    <s v="ORD0111"/>
    <x v="87"/>
    <x v="6"/>
    <x v="1"/>
    <x v="3"/>
    <n v="4"/>
    <n v="300"/>
    <n v="150"/>
    <x v="0"/>
    <n v="1200"/>
    <n v="600"/>
  </r>
  <r>
    <s v="ORD0112"/>
    <x v="79"/>
    <x v="1"/>
    <x v="1"/>
    <x v="0"/>
    <n v="2"/>
    <n v="1500"/>
    <n v="900"/>
    <x v="0"/>
    <n v="3000"/>
    <n v="1200"/>
  </r>
  <r>
    <s v="ORD0113"/>
    <x v="88"/>
    <x v="8"/>
    <x v="2"/>
    <x v="1"/>
    <n v="6"/>
    <n v="700"/>
    <n v="400"/>
    <x v="0"/>
    <n v="4200"/>
    <n v="1800"/>
  </r>
  <r>
    <s v="ORD0114"/>
    <x v="89"/>
    <x v="9"/>
    <x v="1"/>
    <x v="2"/>
    <n v="5"/>
    <n v="2500"/>
    <n v="1800"/>
    <x v="0"/>
    <n v="12500"/>
    <n v="3500"/>
  </r>
  <r>
    <s v="ORD0115"/>
    <x v="37"/>
    <x v="1"/>
    <x v="1"/>
    <x v="1"/>
    <n v="1"/>
    <n v="1500"/>
    <n v="900"/>
    <x v="0"/>
    <n v="1500"/>
    <n v="600"/>
  </r>
  <r>
    <s v="ORD0116"/>
    <x v="18"/>
    <x v="6"/>
    <x v="1"/>
    <x v="1"/>
    <n v="10"/>
    <n v="300"/>
    <n v="150"/>
    <x v="0"/>
    <n v="3000"/>
    <n v="1500"/>
  </r>
  <r>
    <s v="ORD0117"/>
    <x v="90"/>
    <x v="8"/>
    <x v="2"/>
    <x v="3"/>
    <n v="4"/>
    <n v="700"/>
    <n v="400"/>
    <x v="0"/>
    <n v="2800"/>
    <n v="1200"/>
  </r>
  <r>
    <s v="ORD0118"/>
    <x v="22"/>
    <x v="9"/>
    <x v="1"/>
    <x v="1"/>
    <n v="3"/>
    <n v="2500"/>
    <n v="1800"/>
    <x v="0"/>
    <n v="7500"/>
    <n v="2100"/>
  </r>
  <r>
    <s v="ORD0119"/>
    <x v="33"/>
    <x v="0"/>
    <x v="0"/>
    <x v="2"/>
    <n v="7"/>
    <n v="2000"/>
    <n v="1400"/>
    <x v="0"/>
    <n v="14000"/>
    <n v="4200"/>
  </r>
  <r>
    <s v="ORD0120"/>
    <x v="91"/>
    <x v="3"/>
    <x v="0"/>
    <x v="1"/>
    <n v="8"/>
    <n v="800"/>
    <n v="500"/>
    <x v="0"/>
    <n v="6400"/>
    <n v="2400"/>
  </r>
  <r>
    <s v="ORD0121"/>
    <x v="92"/>
    <x v="0"/>
    <x v="0"/>
    <x v="2"/>
    <n v="8"/>
    <n v="2000"/>
    <n v="1400"/>
    <x v="0"/>
    <n v="16000"/>
    <n v="4800"/>
  </r>
  <r>
    <s v="ORD0122"/>
    <x v="73"/>
    <x v="3"/>
    <x v="0"/>
    <x v="0"/>
    <n v="9"/>
    <n v="800"/>
    <n v="500"/>
    <x v="0"/>
    <n v="7200"/>
    <n v="2700"/>
  </r>
  <r>
    <s v="ORD0123"/>
    <x v="73"/>
    <x v="6"/>
    <x v="1"/>
    <x v="3"/>
    <n v="10"/>
    <n v="300"/>
    <n v="150"/>
    <x v="0"/>
    <n v="3000"/>
    <n v="1500"/>
  </r>
  <r>
    <s v="ORD0124"/>
    <x v="68"/>
    <x v="3"/>
    <x v="0"/>
    <x v="2"/>
    <n v="8"/>
    <n v="800"/>
    <n v="500"/>
    <x v="0"/>
    <n v="6400"/>
    <n v="2400"/>
  </r>
  <r>
    <s v="ORD0125"/>
    <x v="93"/>
    <x v="6"/>
    <x v="1"/>
    <x v="0"/>
    <n v="8"/>
    <n v="300"/>
    <n v="150"/>
    <x v="0"/>
    <n v="2400"/>
    <n v="1200"/>
  </r>
  <r>
    <s v="ORD0126"/>
    <x v="22"/>
    <x v="4"/>
    <x v="2"/>
    <x v="3"/>
    <n v="9"/>
    <n v="1200"/>
    <n v="800"/>
    <x v="0"/>
    <n v="10800"/>
    <n v="3600"/>
  </r>
  <r>
    <s v="ORD0127"/>
    <x v="94"/>
    <x v="4"/>
    <x v="2"/>
    <x v="1"/>
    <n v="8"/>
    <n v="1200"/>
    <n v="800"/>
    <x v="0"/>
    <n v="9600"/>
    <n v="3200"/>
  </r>
  <r>
    <s v="ORD0128"/>
    <x v="11"/>
    <x v="9"/>
    <x v="1"/>
    <x v="0"/>
    <n v="5"/>
    <n v="2500"/>
    <n v="1800"/>
    <x v="0"/>
    <n v="12500"/>
    <n v="3500"/>
  </r>
  <r>
    <s v="ORD0129"/>
    <x v="19"/>
    <x v="3"/>
    <x v="0"/>
    <x v="2"/>
    <n v="2"/>
    <n v="800"/>
    <n v="500"/>
    <x v="0"/>
    <n v="1600"/>
    <n v="600"/>
  </r>
  <r>
    <s v="ORD0130"/>
    <x v="95"/>
    <x v="7"/>
    <x v="2"/>
    <x v="2"/>
    <n v="3"/>
    <n v="1000"/>
    <n v="600"/>
    <x v="1"/>
    <n v="3000"/>
    <n v="1200"/>
  </r>
  <r>
    <s v="ORD0131"/>
    <x v="96"/>
    <x v="7"/>
    <x v="2"/>
    <x v="3"/>
    <n v="6"/>
    <n v="1000"/>
    <n v="600"/>
    <x v="0"/>
    <n v="6000"/>
    <n v="2400"/>
  </r>
  <r>
    <s v="ORD0132"/>
    <x v="97"/>
    <x v="9"/>
    <x v="1"/>
    <x v="3"/>
    <n v="7"/>
    <n v="2500"/>
    <n v="1800"/>
    <x v="0"/>
    <n v="17500"/>
    <n v="4900"/>
  </r>
  <r>
    <s v="ORD0133"/>
    <x v="98"/>
    <x v="8"/>
    <x v="2"/>
    <x v="3"/>
    <n v="1"/>
    <n v="700"/>
    <n v="400"/>
    <x v="0"/>
    <n v="700"/>
    <n v="300"/>
  </r>
  <r>
    <s v="ORD0134"/>
    <x v="99"/>
    <x v="5"/>
    <x v="2"/>
    <x v="3"/>
    <n v="5"/>
    <n v="3000"/>
    <n v="2000"/>
    <x v="0"/>
    <n v="15000"/>
    <n v="5000"/>
  </r>
  <r>
    <s v="ORD0135"/>
    <x v="94"/>
    <x v="7"/>
    <x v="2"/>
    <x v="2"/>
    <n v="9"/>
    <n v="1000"/>
    <n v="600"/>
    <x v="0"/>
    <n v="9000"/>
    <n v="3600"/>
  </r>
  <r>
    <s v="ORD0136"/>
    <x v="92"/>
    <x v="4"/>
    <x v="2"/>
    <x v="3"/>
    <n v="7"/>
    <n v="1200"/>
    <n v="800"/>
    <x v="1"/>
    <n v="8400"/>
    <n v="2800"/>
  </r>
  <r>
    <s v="ORD0137"/>
    <x v="69"/>
    <x v="5"/>
    <x v="2"/>
    <x v="2"/>
    <n v="7"/>
    <n v="3000"/>
    <n v="2000"/>
    <x v="0"/>
    <n v="21000"/>
    <n v="7000"/>
  </r>
  <r>
    <s v="ORD0138"/>
    <x v="100"/>
    <x v="1"/>
    <x v="1"/>
    <x v="1"/>
    <n v="10"/>
    <n v="1500"/>
    <n v="900"/>
    <x v="0"/>
    <n v="15000"/>
    <n v="6000"/>
  </r>
  <r>
    <s v="ORD0139"/>
    <x v="36"/>
    <x v="8"/>
    <x v="2"/>
    <x v="1"/>
    <n v="10"/>
    <n v="700"/>
    <n v="400"/>
    <x v="1"/>
    <n v="7000"/>
    <n v="3000"/>
  </r>
  <r>
    <s v="ORD0140"/>
    <x v="32"/>
    <x v="7"/>
    <x v="2"/>
    <x v="3"/>
    <n v="3"/>
    <n v="1000"/>
    <n v="600"/>
    <x v="0"/>
    <n v="3000"/>
    <n v="1200"/>
  </r>
  <r>
    <s v="ORD0141"/>
    <x v="43"/>
    <x v="4"/>
    <x v="2"/>
    <x v="0"/>
    <n v="7"/>
    <n v="1200"/>
    <n v="800"/>
    <x v="0"/>
    <n v="8400"/>
    <n v="2800"/>
  </r>
  <r>
    <s v="ORD0142"/>
    <x v="87"/>
    <x v="5"/>
    <x v="2"/>
    <x v="3"/>
    <n v="6"/>
    <n v="3000"/>
    <n v="2000"/>
    <x v="0"/>
    <n v="18000"/>
    <n v="6000"/>
  </r>
  <r>
    <s v="ORD0143"/>
    <x v="101"/>
    <x v="7"/>
    <x v="2"/>
    <x v="1"/>
    <n v="5"/>
    <n v="1000"/>
    <n v="600"/>
    <x v="0"/>
    <n v="5000"/>
    <n v="2000"/>
  </r>
  <r>
    <s v="ORD0144"/>
    <x v="101"/>
    <x v="3"/>
    <x v="0"/>
    <x v="0"/>
    <n v="1"/>
    <n v="800"/>
    <n v="500"/>
    <x v="0"/>
    <n v="800"/>
    <n v="300"/>
  </r>
  <r>
    <s v="ORD0145"/>
    <x v="102"/>
    <x v="0"/>
    <x v="0"/>
    <x v="1"/>
    <n v="1"/>
    <n v="2000"/>
    <n v="1400"/>
    <x v="0"/>
    <n v="2000"/>
    <n v="600"/>
  </r>
  <r>
    <s v="ORD0146"/>
    <x v="58"/>
    <x v="9"/>
    <x v="1"/>
    <x v="2"/>
    <n v="1"/>
    <n v="2500"/>
    <n v="1800"/>
    <x v="0"/>
    <n v="2500"/>
    <n v="700"/>
  </r>
  <r>
    <s v="ORD0147"/>
    <x v="49"/>
    <x v="6"/>
    <x v="1"/>
    <x v="2"/>
    <n v="2"/>
    <n v="300"/>
    <n v="150"/>
    <x v="0"/>
    <n v="600"/>
    <n v="300"/>
  </r>
  <r>
    <s v="ORD0148"/>
    <x v="103"/>
    <x v="4"/>
    <x v="2"/>
    <x v="2"/>
    <n v="6"/>
    <n v="1200"/>
    <n v="800"/>
    <x v="0"/>
    <n v="7200"/>
    <n v="2400"/>
  </r>
  <r>
    <s v="ORD0149"/>
    <x v="104"/>
    <x v="0"/>
    <x v="0"/>
    <x v="0"/>
    <n v="3"/>
    <n v="2000"/>
    <n v="1400"/>
    <x v="0"/>
    <n v="6000"/>
    <n v="1800"/>
  </r>
  <r>
    <s v="ORD0150"/>
    <x v="34"/>
    <x v="2"/>
    <x v="1"/>
    <x v="3"/>
    <n v="5"/>
    <n v="500"/>
    <n v="300"/>
    <x v="0"/>
    <n v="2500"/>
    <n v="1000"/>
  </r>
  <r>
    <s v="ORD0151"/>
    <x v="20"/>
    <x v="9"/>
    <x v="1"/>
    <x v="2"/>
    <n v="2"/>
    <n v="2500"/>
    <n v="1800"/>
    <x v="0"/>
    <n v="5000"/>
    <n v="1400"/>
  </r>
  <r>
    <s v="ORD0152"/>
    <x v="3"/>
    <x v="4"/>
    <x v="2"/>
    <x v="1"/>
    <n v="10"/>
    <n v="1200"/>
    <n v="800"/>
    <x v="0"/>
    <n v="12000"/>
    <n v="4000"/>
  </r>
  <r>
    <s v="ORD0153"/>
    <x v="68"/>
    <x v="8"/>
    <x v="2"/>
    <x v="0"/>
    <n v="1"/>
    <n v="700"/>
    <n v="400"/>
    <x v="0"/>
    <n v="700"/>
    <n v="300"/>
  </r>
  <r>
    <s v="ORD0154"/>
    <x v="68"/>
    <x v="5"/>
    <x v="2"/>
    <x v="0"/>
    <n v="2"/>
    <n v="3000"/>
    <n v="2000"/>
    <x v="1"/>
    <n v="6000"/>
    <n v="2000"/>
  </r>
  <r>
    <s v="ORD0155"/>
    <x v="105"/>
    <x v="7"/>
    <x v="2"/>
    <x v="1"/>
    <n v="8"/>
    <n v="1000"/>
    <n v="600"/>
    <x v="0"/>
    <n v="8000"/>
    <n v="3200"/>
  </r>
  <r>
    <s v="ORD0156"/>
    <x v="106"/>
    <x v="5"/>
    <x v="2"/>
    <x v="2"/>
    <n v="8"/>
    <n v="3000"/>
    <n v="2000"/>
    <x v="0"/>
    <n v="24000"/>
    <n v="8000"/>
  </r>
  <r>
    <s v="ORD0157"/>
    <x v="107"/>
    <x v="3"/>
    <x v="0"/>
    <x v="3"/>
    <n v="5"/>
    <n v="800"/>
    <n v="500"/>
    <x v="0"/>
    <n v="4000"/>
    <n v="1500"/>
  </r>
  <r>
    <s v="ORD0158"/>
    <x v="77"/>
    <x v="8"/>
    <x v="2"/>
    <x v="0"/>
    <n v="5"/>
    <n v="700"/>
    <n v="400"/>
    <x v="0"/>
    <n v="3500"/>
    <n v="1500"/>
  </r>
  <r>
    <s v="ORD0159"/>
    <x v="41"/>
    <x v="0"/>
    <x v="0"/>
    <x v="3"/>
    <n v="5"/>
    <n v="2000"/>
    <n v="1400"/>
    <x v="0"/>
    <n v="10000"/>
    <n v="3000"/>
  </r>
  <r>
    <s v="ORD0160"/>
    <x v="102"/>
    <x v="6"/>
    <x v="1"/>
    <x v="3"/>
    <n v="10"/>
    <n v="300"/>
    <n v="150"/>
    <x v="0"/>
    <n v="3000"/>
    <n v="1500"/>
  </r>
  <r>
    <s v="ORD0161"/>
    <x v="43"/>
    <x v="6"/>
    <x v="1"/>
    <x v="2"/>
    <n v="6"/>
    <n v="300"/>
    <n v="150"/>
    <x v="0"/>
    <n v="1800"/>
    <n v="900"/>
  </r>
  <r>
    <s v="ORD0162"/>
    <x v="51"/>
    <x v="5"/>
    <x v="2"/>
    <x v="0"/>
    <n v="5"/>
    <n v="3000"/>
    <n v="2000"/>
    <x v="0"/>
    <n v="15000"/>
    <n v="5000"/>
  </r>
  <r>
    <s v="ORD0163"/>
    <x v="66"/>
    <x v="8"/>
    <x v="2"/>
    <x v="1"/>
    <n v="5"/>
    <n v="700"/>
    <n v="400"/>
    <x v="0"/>
    <n v="3500"/>
    <n v="1500"/>
  </r>
  <r>
    <s v="ORD0164"/>
    <x v="59"/>
    <x v="9"/>
    <x v="1"/>
    <x v="2"/>
    <n v="2"/>
    <n v="2500"/>
    <n v="1800"/>
    <x v="0"/>
    <n v="5000"/>
    <n v="1400"/>
  </r>
  <r>
    <s v="ORD0165"/>
    <x v="13"/>
    <x v="6"/>
    <x v="1"/>
    <x v="2"/>
    <n v="9"/>
    <n v="300"/>
    <n v="150"/>
    <x v="0"/>
    <n v="2700"/>
    <n v="1350"/>
  </r>
  <r>
    <s v="ORD0166"/>
    <x v="51"/>
    <x v="6"/>
    <x v="1"/>
    <x v="1"/>
    <n v="8"/>
    <n v="300"/>
    <n v="150"/>
    <x v="1"/>
    <n v="2400"/>
    <n v="1200"/>
  </r>
  <r>
    <s v="ORD0167"/>
    <x v="108"/>
    <x v="9"/>
    <x v="1"/>
    <x v="2"/>
    <n v="7"/>
    <n v="2500"/>
    <n v="1800"/>
    <x v="0"/>
    <n v="17500"/>
    <n v="4900"/>
  </r>
  <r>
    <s v="ORD0168"/>
    <x v="109"/>
    <x v="8"/>
    <x v="2"/>
    <x v="3"/>
    <n v="6"/>
    <n v="700"/>
    <n v="400"/>
    <x v="0"/>
    <n v="4200"/>
    <n v="1800"/>
  </r>
  <r>
    <s v="ORD0169"/>
    <x v="27"/>
    <x v="5"/>
    <x v="2"/>
    <x v="0"/>
    <n v="7"/>
    <n v="3000"/>
    <n v="2000"/>
    <x v="0"/>
    <n v="21000"/>
    <n v="7000"/>
  </r>
  <r>
    <s v="ORD0170"/>
    <x v="110"/>
    <x v="6"/>
    <x v="1"/>
    <x v="0"/>
    <n v="5"/>
    <n v="300"/>
    <n v="150"/>
    <x v="0"/>
    <n v="1500"/>
    <n v="750"/>
  </r>
  <r>
    <s v="ORD0171"/>
    <x v="111"/>
    <x v="0"/>
    <x v="0"/>
    <x v="0"/>
    <n v="4"/>
    <n v="2000"/>
    <n v="1400"/>
    <x v="0"/>
    <n v="8000"/>
    <n v="2400"/>
  </r>
  <r>
    <s v="ORD0172"/>
    <x v="18"/>
    <x v="3"/>
    <x v="0"/>
    <x v="2"/>
    <n v="3"/>
    <n v="800"/>
    <n v="500"/>
    <x v="0"/>
    <n v="2400"/>
    <n v="900"/>
  </r>
  <r>
    <s v="ORD0173"/>
    <x v="80"/>
    <x v="6"/>
    <x v="1"/>
    <x v="0"/>
    <n v="5"/>
    <n v="300"/>
    <n v="150"/>
    <x v="0"/>
    <n v="1500"/>
    <n v="750"/>
  </r>
  <r>
    <s v="ORD0174"/>
    <x v="112"/>
    <x v="9"/>
    <x v="1"/>
    <x v="2"/>
    <n v="5"/>
    <n v="2500"/>
    <n v="1800"/>
    <x v="0"/>
    <n v="12500"/>
    <n v="3500"/>
  </r>
  <r>
    <s v="ORD0175"/>
    <x v="108"/>
    <x v="4"/>
    <x v="2"/>
    <x v="2"/>
    <n v="1"/>
    <n v="1200"/>
    <n v="800"/>
    <x v="0"/>
    <n v="1200"/>
    <n v="400"/>
  </r>
  <r>
    <s v="ORD0176"/>
    <x v="47"/>
    <x v="2"/>
    <x v="1"/>
    <x v="0"/>
    <n v="9"/>
    <n v="500"/>
    <n v="300"/>
    <x v="0"/>
    <n v="4500"/>
    <n v="1800"/>
  </r>
  <r>
    <s v="ORD0177"/>
    <x v="14"/>
    <x v="1"/>
    <x v="1"/>
    <x v="1"/>
    <n v="8"/>
    <n v="1500"/>
    <n v="900"/>
    <x v="0"/>
    <n v="12000"/>
    <n v="4800"/>
  </r>
  <r>
    <s v="ORD0178"/>
    <x v="113"/>
    <x v="8"/>
    <x v="2"/>
    <x v="3"/>
    <n v="5"/>
    <n v="700"/>
    <n v="400"/>
    <x v="0"/>
    <n v="3500"/>
    <n v="1500"/>
  </r>
  <r>
    <s v="ORD0179"/>
    <x v="2"/>
    <x v="5"/>
    <x v="2"/>
    <x v="1"/>
    <n v="3"/>
    <n v="3000"/>
    <n v="2000"/>
    <x v="0"/>
    <n v="9000"/>
    <n v="3000"/>
  </r>
  <r>
    <s v="ORD0180"/>
    <x v="7"/>
    <x v="6"/>
    <x v="1"/>
    <x v="1"/>
    <n v="2"/>
    <n v="300"/>
    <n v="150"/>
    <x v="0"/>
    <n v="600"/>
    <n v="300"/>
  </r>
  <r>
    <s v="ORD0181"/>
    <x v="113"/>
    <x v="0"/>
    <x v="0"/>
    <x v="1"/>
    <n v="10"/>
    <n v="2000"/>
    <n v="1400"/>
    <x v="0"/>
    <n v="20000"/>
    <n v="6000"/>
  </r>
  <r>
    <s v="ORD0182"/>
    <x v="114"/>
    <x v="8"/>
    <x v="2"/>
    <x v="1"/>
    <n v="5"/>
    <n v="700"/>
    <n v="400"/>
    <x v="0"/>
    <n v="3500"/>
    <n v="1500"/>
  </r>
  <r>
    <s v="ORD0183"/>
    <x v="54"/>
    <x v="0"/>
    <x v="0"/>
    <x v="3"/>
    <n v="9"/>
    <n v="2000"/>
    <n v="1400"/>
    <x v="0"/>
    <n v="18000"/>
    <n v="5400"/>
  </r>
  <r>
    <s v="ORD0184"/>
    <x v="86"/>
    <x v="8"/>
    <x v="2"/>
    <x v="3"/>
    <n v="4"/>
    <n v="700"/>
    <n v="400"/>
    <x v="0"/>
    <n v="2800"/>
    <n v="1200"/>
  </r>
  <r>
    <s v="ORD0185"/>
    <x v="54"/>
    <x v="6"/>
    <x v="1"/>
    <x v="3"/>
    <n v="5"/>
    <n v="300"/>
    <n v="150"/>
    <x v="0"/>
    <n v="1500"/>
    <n v="750"/>
  </r>
  <r>
    <s v="ORD0186"/>
    <x v="23"/>
    <x v="8"/>
    <x v="2"/>
    <x v="1"/>
    <n v="1"/>
    <n v="700"/>
    <n v="400"/>
    <x v="0"/>
    <n v="700"/>
    <n v="300"/>
  </r>
  <r>
    <s v="ORD0187"/>
    <x v="115"/>
    <x v="9"/>
    <x v="1"/>
    <x v="0"/>
    <n v="4"/>
    <n v="2500"/>
    <n v="1800"/>
    <x v="0"/>
    <n v="10000"/>
    <n v="2800"/>
  </r>
  <r>
    <s v="ORD0188"/>
    <x v="83"/>
    <x v="1"/>
    <x v="1"/>
    <x v="2"/>
    <n v="4"/>
    <n v="1500"/>
    <n v="900"/>
    <x v="0"/>
    <n v="6000"/>
    <n v="2400"/>
  </r>
  <r>
    <s v="ORD0189"/>
    <x v="39"/>
    <x v="1"/>
    <x v="1"/>
    <x v="3"/>
    <n v="1"/>
    <n v="1500"/>
    <n v="900"/>
    <x v="0"/>
    <n v="1500"/>
    <n v="600"/>
  </r>
  <r>
    <s v="ORD0190"/>
    <x v="88"/>
    <x v="8"/>
    <x v="2"/>
    <x v="0"/>
    <n v="8"/>
    <n v="700"/>
    <n v="400"/>
    <x v="1"/>
    <n v="5600"/>
    <n v="2400"/>
  </r>
  <r>
    <s v="ORD0191"/>
    <x v="116"/>
    <x v="4"/>
    <x v="2"/>
    <x v="3"/>
    <n v="5"/>
    <n v="1200"/>
    <n v="800"/>
    <x v="1"/>
    <n v="6000"/>
    <n v="2000"/>
  </r>
  <r>
    <s v="ORD0192"/>
    <x v="108"/>
    <x v="9"/>
    <x v="1"/>
    <x v="2"/>
    <n v="5"/>
    <n v="2500"/>
    <n v="1800"/>
    <x v="0"/>
    <n v="12500"/>
    <n v="3500"/>
  </r>
  <r>
    <s v="ORD0193"/>
    <x v="117"/>
    <x v="3"/>
    <x v="0"/>
    <x v="2"/>
    <n v="4"/>
    <n v="800"/>
    <n v="500"/>
    <x v="0"/>
    <n v="3200"/>
    <n v="1200"/>
  </r>
  <r>
    <s v="ORD0194"/>
    <x v="67"/>
    <x v="1"/>
    <x v="1"/>
    <x v="1"/>
    <n v="2"/>
    <n v="1500"/>
    <n v="900"/>
    <x v="0"/>
    <n v="3000"/>
    <n v="1200"/>
  </r>
  <r>
    <s v="ORD0195"/>
    <x v="74"/>
    <x v="4"/>
    <x v="2"/>
    <x v="0"/>
    <n v="10"/>
    <n v="1200"/>
    <n v="800"/>
    <x v="0"/>
    <n v="12000"/>
    <n v="4000"/>
  </r>
  <r>
    <s v="ORD0196"/>
    <x v="2"/>
    <x v="6"/>
    <x v="1"/>
    <x v="3"/>
    <n v="5"/>
    <n v="300"/>
    <n v="150"/>
    <x v="0"/>
    <n v="1500"/>
    <n v="750"/>
  </r>
  <r>
    <s v="ORD0197"/>
    <x v="72"/>
    <x v="3"/>
    <x v="0"/>
    <x v="3"/>
    <n v="9"/>
    <n v="800"/>
    <n v="500"/>
    <x v="0"/>
    <n v="7200"/>
    <n v="2700"/>
  </r>
  <r>
    <s v="ORD0198"/>
    <x v="60"/>
    <x v="8"/>
    <x v="2"/>
    <x v="3"/>
    <n v="1"/>
    <n v="700"/>
    <n v="400"/>
    <x v="0"/>
    <n v="700"/>
    <n v="300"/>
  </r>
  <r>
    <s v="ORD0199"/>
    <x v="118"/>
    <x v="8"/>
    <x v="2"/>
    <x v="1"/>
    <n v="5"/>
    <n v="700"/>
    <n v="400"/>
    <x v="1"/>
    <n v="3500"/>
    <n v="1500"/>
  </r>
  <r>
    <s v="ORD0200"/>
    <x v="115"/>
    <x v="8"/>
    <x v="2"/>
    <x v="1"/>
    <n v="10"/>
    <n v="700"/>
    <n v="400"/>
    <x v="0"/>
    <n v="7000"/>
    <n v="3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133D78-08EC-4011-B0FB-7C76F8B2A6E2}"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H11:I14" firstHeaderRow="1" firstDataRow="1" firstDataCol="1"/>
  <pivotFields count="12">
    <pivotField dataField="1" showAll="0"/>
    <pivotField numFmtId="16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axis="axisRow" showAll="0">
      <items count="3">
        <item x="0"/>
        <item x="1"/>
        <item t="default"/>
      </items>
    </pivotField>
    <pivotField showAll="0"/>
    <pivotField showAll="0"/>
    <pivotField showAll="0">
      <items count="4">
        <item x="0"/>
        <item x="1"/>
        <item x="2"/>
        <item t="default"/>
      </items>
    </pivotField>
  </pivotFields>
  <rowFields count="1">
    <field x="8"/>
  </rowFields>
  <rowItems count="3">
    <i>
      <x/>
    </i>
    <i>
      <x v="1"/>
    </i>
    <i t="grand">
      <x/>
    </i>
  </rowItems>
  <colItems count="1">
    <i/>
  </colItems>
  <dataFields count="1">
    <dataField name="Count of Order ID" fld="0" subtotal="count" baseField="8" baseItem="0" numFmtId="3"/>
  </dataFields>
  <formats count="2">
    <format dxfId="1">
      <pivotArea outline="0" collapsedLevelsAreSubtotals="1" fieldPosition="0"/>
    </format>
    <format dxfId="0">
      <pivotArea outline="0" collapsedLevelsAreSubtotals="1" fieldPosition="0"/>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8" count="1" selected="0">
            <x v="0"/>
          </reference>
        </references>
      </pivotArea>
    </chartFormat>
    <chartFormat chart="3"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57EDFF-C114-4D2B-9112-D127D77F11A0}"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E11:F17" firstHeaderRow="1" firstDataRow="1" firstDataCol="1"/>
  <pivotFields count="12">
    <pivotField showAll="0"/>
    <pivotField numFmtId="164" showAll="0">
      <items count="15">
        <item x="0"/>
        <item x="1"/>
        <item x="2"/>
        <item x="3"/>
        <item x="4"/>
        <item x="5"/>
        <item x="6"/>
        <item x="7"/>
        <item x="8"/>
        <item x="9"/>
        <item x="10"/>
        <item x="11"/>
        <item x="12"/>
        <item x="13"/>
        <item t="default"/>
      </items>
    </pivotField>
    <pivotField axis="axisRow" showAll="0" measureFilter="1" sortType="descending">
      <items count="11">
        <item x="5"/>
        <item x="8"/>
        <item x="2"/>
        <item x="7"/>
        <item x="0"/>
        <item x="3"/>
        <item x="1"/>
        <item x="9"/>
        <item x="6"/>
        <item x="4"/>
        <item t="default"/>
      </items>
    </pivotField>
    <pivotField showAll="0"/>
    <pivotField showAll="0"/>
    <pivotField showAll="0"/>
    <pivotField showAll="0"/>
    <pivotField showAll="0"/>
    <pivotField showAll="0"/>
    <pivotField dataField="1" showAll="0"/>
    <pivotField showAll="0"/>
    <pivotField showAll="0">
      <items count="4">
        <item x="0"/>
        <item x="1"/>
        <item x="2"/>
        <item t="default"/>
      </items>
    </pivotField>
  </pivotFields>
  <rowFields count="1">
    <field x="2"/>
  </rowFields>
  <rowItems count="6">
    <i>
      <x/>
    </i>
    <i>
      <x v="4"/>
    </i>
    <i>
      <x v="6"/>
    </i>
    <i>
      <x v="7"/>
    </i>
    <i>
      <x v="9"/>
    </i>
    <i t="grand">
      <x/>
    </i>
  </rowItems>
  <colItems count="1">
    <i/>
  </colItems>
  <dataFields count="1">
    <dataField name="Total Revenue" fld="9" baseField="2" baseItem="0" numFmtId="3"/>
  </dataFields>
  <formats count="2">
    <format dxfId="3">
      <pivotArea outline="0" collapsedLevelsAreSubtotals="1" fieldPosition="0"/>
    </format>
    <format dxfId="2">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3D34F7B-AEDB-4D36-A143-42B1130781C5}"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I3:K8" firstHeaderRow="0" firstDataRow="1" firstDataCol="1"/>
  <pivotFields count="12">
    <pivotField showAll="0"/>
    <pivotField numFmtId="164" showAll="0">
      <items count="15">
        <item x="0"/>
        <item x="1"/>
        <item x="2"/>
        <item x="3"/>
        <item x="4"/>
        <item x="5"/>
        <item x="6"/>
        <item x="7"/>
        <item x="8"/>
        <item x="9"/>
        <item x="10"/>
        <item x="11"/>
        <item x="12"/>
        <item x="13"/>
        <item t="default"/>
      </items>
    </pivotField>
    <pivotField showAll="0"/>
    <pivotField showAll="0"/>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dataField="1" showAll="0"/>
    <pivotField showAll="0">
      <items count="4">
        <item x="0"/>
        <item x="1"/>
        <item x="2"/>
        <item t="default"/>
      </items>
    </pivotField>
  </pivotFields>
  <rowFields count="1">
    <field x="4"/>
  </rowFields>
  <rowItems count="5">
    <i>
      <x v="2"/>
    </i>
    <i>
      <x v="1"/>
    </i>
    <i>
      <x/>
    </i>
    <i>
      <x v="3"/>
    </i>
    <i t="grand">
      <x/>
    </i>
  </rowItems>
  <colFields count="1">
    <field x="-2"/>
  </colFields>
  <colItems count="2">
    <i>
      <x/>
    </i>
    <i i="1">
      <x v="1"/>
    </i>
  </colItems>
  <dataFields count="2">
    <dataField name="Total Revenue" fld="9" baseField="4" baseItem="0"/>
    <dataField name="Sum of Profit" fld="10" baseField="0" baseItem="0"/>
  </dataFields>
  <formats count="2">
    <format dxfId="5">
      <pivotArea outline="0" collapsedLevelsAreSubtotals="1" fieldPosition="0"/>
    </format>
    <format dxfId="4">
      <pivotArea outline="0" collapsedLevelsAreSubtotals="1" fieldPosition="0"/>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38A085-E1BA-4D17-B16B-C3F5CAF9879A}"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E3:G7" firstHeaderRow="0" firstDataRow="1" firstDataCol="1"/>
  <pivotFields count="12">
    <pivotField showAll="0"/>
    <pivotField numFmtId="164" showAll="0">
      <items count="15">
        <item x="0"/>
        <item x="1"/>
        <item x="2"/>
        <item x="3"/>
        <item x="4"/>
        <item x="5"/>
        <item x="6"/>
        <item x="7"/>
        <item x="8"/>
        <item x="9"/>
        <item x="10"/>
        <item x="11"/>
        <item x="12"/>
        <item x="13"/>
        <item t="default"/>
      </items>
    </pivotField>
    <pivotField showAll="0"/>
    <pivotField axis="axisRow" showAll="0">
      <items count="4">
        <item x="2"/>
        <item x="1"/>
        <item x="0"/>
        <item t="default"/>
      </items>
    </pivotField>
    <pivotField showAll="0"/>
    <pivotField showAll="0"/>
    <pivotField showAll="0"/>
    <pivotField showAll="0"/>
    <pivotField showAll="0"/>
    <pivotField dataField="1" showAll="0"/>
    <pivotField dataField="1" showAll="0"/>
    <pivotField showAll="0">
      <items count="4">
        <item x="0"/>
        <item x="1"/>
        <item x="2"/>
        <item t="default"/>
      </items>
    </pivotField>
  </pivotFields>
  <rowFields count="1">
    <field x="3"/>
  </rowFields>
  <rowItems count="4">
    <i>
      <x/>
    </i>
    <i>
      <x v="1"/>
    </i>
    <i>
      <x v="2"/>
    </i>
    <i t="grand">
      <x/>
    </i>
  </rowItems>
  <colFields count="1">
    <field x="-2"/>
  </colFields>
  <colItems count="2">
    <i>
      <x/>
    </i>
    <i i="1">
      <x v="1"/>
    </i>
  </colItems>
  <dataFields count="2">
    <dataField name="Total Revenue" fld="9" baseField="3" baseItem="0"/>
    <dataField name="Sum of Profit" fld="10" baseField="0" baseItem="0"/>
  </dataFields>
  <formats count="2">
    <format dxfId="7">
      <pivotArea outline="0" collapsedLevelsAreSubtotals="1" fieldPosition="0"/>
    </format>
    <format dxfId="6">
      <pivotArea outline="0" collapsedLevelsAreSubtotals="1" fieldPosition="0"/>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C23CE2-5FFB-4A10-97D2-2E04B59287A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C12" firstHeaderRow="0" firstDataRow="1" firstDataCol="1"/>
  <pivotFields count="12">
    <pivotField showAll="0"/>
    <pivotField axis="axisRow" numFmtId="164" showAll="0">
      <items count="15">
        <item x="0"/>
        <item x="1"/>
        <item x="2"/>
        <item x="3"/>
        <item x="4"/>
        <item x="5"/>
        <item x="6"/>
        <item x="7"/>
        <item x="8"/>
        <item x="9"/>
        <item x="10"/>
        <item x="11"/>
        <item x="12"/>
        <item x="13"/>
        <item t="default"/>
      </items>
    </pivotField>
    <pivotField showAll="0"/>
    <pivotField showAll="0">
      <items count="4">
        <item x="2"/>
        <item x="1"/>
        <item x="0"/>
        <item t="default"/>
      </items>
    </pivotField>
    <pivotField showAll="0">
      <items count="5">
        <item x="0"/>
        <item x="1"/>
        <item x="2"/>
        <item x="3"/>
        <item t="default"/>
      </items>
    </pivotField>
    <pivotField showAll="0"/>
    <pivotField showAll="0"/>
    <pivotField showAll="0"/>
    <pivotField showAll="0"/>
    <pivotField dataField="1" showAll="0"/>
    <pivotField dataField="1" showAll="0"/>
    <pivotField axis="axisRow" showAll="0">
      <items count="4">
        <item x="0"/>
        <item x="1"/>
        <item x="2"/>
        <item t="default"/>
      </items>
    </pivotField>
  </pivotFields>
  <rowFields count="2">
    <field x="11"/>
    <field x="1"/>
  </rowFields>
  <rowItems count="9">
    <i>
      <x v="1"/>
    </i>
    <i r="1">
      <x v="1"/>
    </i>
    <i r="1">
      <x v="2"/>
    </i>
    <i r="1">
      <x v="3"/>
    </i>
    <i r="1">
      <x v="4"/>
    </i>
    <i r="1">
      <x v="5"/>
    </i>
    <i r="1">
      <x v="6"/>
    </i>
    <i r="1">
      <x v="7"/>
    </i>
    <i t="grand">
      <x/>
    </i>
  </rowItems>
  <colFields count="1">
    <field x="-2"/>
  </colFields>
  <colItems count="2">
    <i>
      <x/>
    </i>
    <i i="1">
      <x v="1"/>
    </i>
  </colItems>
  <dataFields count="2">
    <dataField name="Total Revenue" fld="9" baseField="11" baseItem="1"/>
    <dataField name="Sum of Profit" fld="10" baseField="0" baseItem="0"/>
  </dataFields>
  <formats count="3">
    <format dxfId="10">
      <pivotArea outline="0" collapsedLevelsAreSubtotals="1" fieldPosition="0"/>
    </format>
    <format dxfId="9">
      <pivotArea dataOnly="0" labelOnly="1" outline="0" fieldPosition="0">
        <references count="1">
          <reference field="4294967294" count="2">
            <x v="0"/>
            <x v="1"/>
          </reference>
        </references>
      </pivotArea>
    </format>
    <format dxfId="8">
      <pivotArea outline="0" collapsedLevelsAreSubtotals="1" fieldPosition="0"/>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3581D18B-8F2B-4B1E-92F3-449EE2BF3CEF}" sourceName="Date">
  <pivotTables>
    <pivotTable tabId="2" name="PivotTable2"/>
    <pivotTable tabId="2" name="PivotTable5"/>
  </pivotTables>
  <data>
    <tabular pivotCacheId="441998309">
      <items count="14">
        <i x="1" s="1"/>
        <i x="2" s="1"/>
        <i x="3" s="1"/>
        <i x="4" s="1"/>
        <i x="5" s="1"/>
        <i x="6" s="1"/>
        <i x="7" s="1"/>
        <i x="8" s="1" nd="1"/>
        <i x="9" s="1" nd="1"/>
        <i x="10" s="1" nd="1"/>
        <i x="11" s="1" nd="1"/>
        <i x="12" s="1" nd="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91857E-F799-4D5D-9E24-BDB714C3CCE3}" sourceName="Category">
  <pivotTables>
    <pivotTable tabId="2" name="PivotTable2"/>
  </pivotTables>
  <data>
    <tabular pivotCacheId="441998309">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85C8D01-9810-409A-A261-64F4EE5CF6A6}" sourceName="Region">
  <pivotTables>
    <pivotTable tabId="2" name="PivotTable2"/>
  </pivotTables>
  <data>
    <tabular pivotCacheId="441998309">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950A660F-EFB3-4C9B-90D5-3722DD3B748A}" cache="Slicer_Date" caption="Date" startItem="8" style="Dark Theme Slicer" rowHeight="241300"/>
  <slicer name="Category" xr10:uid="{6D17CFC8-1114-4946-BB4E-A520C5F84D60}" cache="Slicer_Category" caption="Category" style="Dark Theme Slicer" rowHeight="241300"/>
  <slicer name="Region" xr10:uid="{9A35D4AC-1F62-49D9-A10F-55BDD15996CF}" cache="Slicer_Region" caption="Region" style="Dark Theme Slice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10D77-9B0E-45C6-BB4F-D553DF1197F5}">
  <sheetPr codeName="Sheet1"/>
  <dimension ref="A3:K24"/>
  <sheetViews>
    <sheetView topLeftCell="A4" workbookViewId="0">
      <selection activeCell="B20" sqref="B20"/>
    </sheetView>
  </sheetViews>
  <sheetFormatPr defaultRowHeight="15" x14ac:dyDescent="0.25"/>
  <cols>
    <col min="1" max="1" width="13.140625" bestFit="1" customWidth="1"/>
    <col min="2" max="2" width="13.85546875" bestFit="1" customWidth="1"/>
    <col min="3" max="3" width="12.5703125" bestFit="1" customWidth="1"/>
    <col min="5" max="5" width="13.140625" bestFit="1" customWidth="1"/>
    <col min="6" max="6" width="13.85546875" bestFit="1" customWidth="1"/>
    <col min="7" max="7" width="12.5703125" bestFit="1" customWidth="1"/>
    <col min="8" max="8" width="13.140625" bestFit="1" customWidth="1"/>
    <col min="9" max="9" width="16.5703125" bestFit="1" customWidth="1"/>
    <col min="10" max="10" width="13.85546875" bestFit="1" customWidth="1"/>
    <col min="11" max="11" width="12.5703125" bestFit="1" customWidth="1"/>
  </cols>
  <sheetData>
    <row r="3" spans="1:11" x14ac:dyDescent="0.25">
      <c r="A3" s="2" t="s">
        <v>230</v>
      </c>
      <c r="B3" s="5" t="s">
        <v>242</v>
      </c>
      <c r="C3" s="5" t="s">
        <v>232</v>
      </c>
      <c r="E3" s="2" t="s">
        <v>230</v>
      </c>
      <c r="F3" t="s">
        <v>242</v>
      </c>
      <c r="G3" t="s">
        <v>232</v>
      </c>
      <c r="I3" s="2" t="s">
        <v>230</v>
      </c>
      <c r="J3" t="s">
        <v>242</v>
      </c>
      <c r="K3" t="s">
        <v>232</v>
      </c>
    </row>
    <row r="4" spans="1:11" x14ac:dyDescent="0.25">
      <c r="A4" s="3" t="s">
        <v>241</v>
      </c>
      <c r="B4" s="6">
        <v>1397800</v>
      </c>
      <c r="C4" s="6">
        <v>483100</v>
      </c>
      <c r="E4" s="3" t="s">
        <v>221</v>
      </c>
      <c r="F4" s="6">
        <v>621800</v>
      </c>
      <c r="G4" s="6">
        <v>224400</v>
      </c>
      <c r="I4" s="3" t="s">
        <v>224</v>
      </c>
      <c r="J4" s="6">
        <v>380800</v>
      </c>
      <c r="K4" s="6">
        <v>128150</v>
      </c>
    </row>
    <row r="5" spans="1:11" x14ac:dyDescent="0.25">
      <c r="A5" s="4" t="s">
        <v>234</v>
      </c>
      <c r="B5" s="6">
        <v>83100</v>
      </c>
      <c r="C5" s="6">
        <v>29700</v>
      </c>
      <c r="E5" s="3" t="s">
        <v>220</v>
      </c>
      <c r="F5" s="6">
        <v>473200</v>
      </c>
      <c r="G5" s="6">
        <v>161500</v>
      </c>
      <c r="I5" s="3" t="s">
        <v>223</v>
      </c>
      <c r="J5" s="6">
        <v>369800</v>
      </c>
      <c r="K5" s="6">
        <v>132700</v>
      </c>
    </row>
    <row r="6" spans="1:11" x14ac:dyDescent="0.25">
      <c r="A6" s="4" t="s">
        <v>235</v>
      </c>
      <c r="B6" s="6">
        <v>196400</v>
      </c>
      <c r="C6" s="6">
        <v>64300</v>
      </c>
      <c r="E6" s="3" t="s">
        <v>219</v>
      </c>
      <c r="F6" s="6">
        <v>302800</v>
      </c>
      <c r="G6" s="6">
        <v>97200</v>
      </c>
      <c r="I6" s="3" t="s">
        <v>222</v>
      </c>
      <c r="J6" s="6">
        <v>327800</v>
      </c>
      <c r="K6" s="6">
        <v>113400</v>
      </c>
    </row>
    <row r="7" spans="1:11" x14ac:dyDescent="0.25">
      <c r="A7" s="4" t="s">
        <v>236</v>
      </c>
      <c r="B7" s="6">
        <v>246800</v>
      </c>
      <c r="C7" s="6">
        <v>88100</v>
      </c>
      <c r="E7" s="3" t="s">
        <v>231</v>
      </c>
      <c r="F7" s="6">
        <v>1397800</v>
      </c>
      <c r="G7" s="6">
        <v>483100</v>
      </c>
      <c r="I7" s="3" t="s">
        <v>225</v>
      </c>
      <c r="J7" s="6">
        <v>319400</v>
      </c>
      <c r="K7" s="6">
        <v>108850</v>
      </c>
    </row>
    <row r="8" spans="1:11" x14ac:dyDescent="0.25">
      <c r="A8" s="4" t="s">
        <v>237</v>
      </c>
      <c r="B8" s="6">
        <v>244400</v>
      </c>
      <c r="C8" s="6">
        <v>84600</v>
      </c>
      <c r="I8" s="3" t="s">
        <v>231</v>
      </c>
      <c r="J8" s="6">
        <v>1397800</v>
      </c>
      <c r="K8" s="6">
        <v>483100</v>
      </c>
    </row>
    <row r="9" spans="1:11" x14ac:dyDescent="0.25">
      <c r="A9" s="4" t="s">
        <v>238</v>
      </c>
      <c r="B9" s="6">
        <v>163900</v>
      </c>
      <c r="C9" s="6">
        <v>58500</v>
      </c>
    </row>
    <row r="10" spans="1:11" x14ac:dyDescent="0.25">
      <c r="A10" s="4" t="s">
        <v>239</v>
      </c>
      <c r="B10" s="6">
        <v>288400</v>
      </c>
      <c r="C10" s="6">
        <v>97500</v>
      </c>
    </row>
    <row r="11" spans="1:11" x14ac:dyDescent="0.25">
      <c r="A11" s="4" t="s">
        <v>240</v>
      </c>
      <c r="B11" s="6">
        <v>174800</v>
      </c>
      <c r="C11" s="6">
        <v>60400</v>
      </c>
      <c r="E11" s="2" t="s">
        <v>230</v>
      </c>
      <c r="F11" t="s">
        <v>242</v>
      </c>
      <c r="H11" s="2" t="s">
        <v>230</v>
      </c>
      <c r="I11" t="s">
        <v>233</v>
      </c>
      <c r="K11" s="2"/>
    </row>
    <row r="12" spans="1:11" x14ac:dyDescent="0.25">
      <c r="A12" s="3" t="s">
        <v>231</v>
      </c>
      <c r="B12" s="6">
        <v>1397800</v>
      </c>
      <c r="C12" s="6">
        <v>483100</v>
      </c>
      <c r="E12" s="3" t="s">
        <v>214</v>
      </c>
      <c r="F12" s="6">
        <v>282000</v>
      </c>
      <c r="H12" s="3" t="s">
        <v>226</v>
      </c>
      <c r="I12" s="6">
        <v>185</v>
      </c>
    </row>
    <row r="13" spans="1:11" x14ac:dyDescent="0.25">
      <c r="E13" s="3" t="s">
        <v>209</v>
      </c>
      <c r="F13" s="6">
        <v>218000</v>
      </c>
      <c r="H13" s="3" t="s">
        <v>227</v>
      </c>
      <c r="I13" s="6">
        <v>15</v>
      </c>
    </row>
    <row r="14" spans="1:11" x14ac:dyDescent="0.25">
      <c r="E14" s="3" t="s">
        <v>210</v>
      </c>
      <c r="F14" s="6">
        <v>138000</v>
      </c>
      <c r="H14" s="3" t="s">
        <v>231</v>
      </c>
      <c r="I14" s="6">
        <v>200</v>
      </c>
    </row>
    <row r="15" spans="1:11" x14ac:dyDescent="0.25">
      <c r="B15" s="7"/>
      <c r="E15" s="3" t="s">
        <v>218</v>
      </c>
      <c r="F15" s="6">
        <v>265000</v>
      </c>
    </row>
    <row r="16" spans="1:11" x14ac:dyDescent="0.25">
      <c r="A16" s="11">
        <f>IFERROR(GETPIVOTDATA("Total Revenue",$A$3,"Years",2025),0)</f>
        <v>1397800</v>
      </c>
      <c r="B16" t="str">
        <f>"Total Revenue: "&amp;TEXT(A16,"₹#,##0")</f>
        <v>Total Revenue: ₹13,97,800</v>
      </c>
      <c r="E16" s="3" t="s">
        <v>213</v>
      </c>
      <c r="F16" s="6">
        <v>129600</v>
      </c>
    </row>
    <row r="17" spans="1:11" x14ac:dyDescent="0.25">
      <c r="E17" s="3" t="s">
        <v>231</v>
      </c>
      <c r="F17" s="6">
        <v>1032600</v>
      </c>
      <c r="K17" s="7"/>
    </row>
    <row r="20" spans="1:11" x14ac:dyDescent="0.25">
      <c r="A20" s="10">
        <f>IFERROR(GETPIVOTDATA("Sum of Profit",$A$3),0)</f>
        <v>483100</v>
      </c>
      <c r="B20" t="str">
        <f>"Total Profit: "&amp;TEXT(A20,"₹#,##0")</f>
        <v>Total Profit: ₹4,83,100</v>
      </c>
    </row>
    <row r="24" spans="1:11" x14ac:dyDescent="0.25">
      <c r="A24" s="12">
        <f>IFERROR(A20/A16,0)</f>
        <v>0.34561453712977536</v>
      </c>
      <c r="B24" s="7" t="str">
        <f>"Return Rate: "&amp;TEXT(A24,"0.0%")</f>
        <v>Return Rate: 34.6%</v>
      </c>
      <c r="C24" s="9"/>
    </row>
  </sheetData>
  <conditionalFormatting sqref="J3">
    <cfRule type="dataBar" priority="2">
      <dataBar>
        <cfvo type="min"/>
        <cfvo type="max"/>
        <color rgb="FF638EC6"/>
      </dataBar>
      <extLst>
        <ext xmlns:x14="http://schemas.microsoft.com/office/spreadsheetml/2009/9/main" uri="{B025F937-C7B1-47D3-B67F-A62EFF666E3E}">
          <x14:id>{5749CB21-CC24-47F7-B259-D0CF85EEB777}</x14:id>
        </ext>
      </extLst>
    </cfRule>
  </conditionalFormatting>
  <conditionalFormatting sqref="J3">
    <cfRule type="dataBar" priority="1">
      <dataBar>
        <cfvo type="min"/>
        <cfvo type="max"/>
        <color rgb="FF638EC6"/>
      </dataBar>
      <extLst>
        <ext xmlns:x14="http://schemas.microsoft.com/office/spreadsheetml/2009/9/main" uri="{B025F937-C7B1-47D3-B67F-A62EFF666E3E}">
          <x14:id>{A1E66E3C-807E-4051-823B-C57CD0E8D7D9}</x14:id>
        </ext>
      </extLst>
    </cfRule>
  </conditionalFormatting>
  <pageMargins left="0.7" right="0.7" top="0.75" bottom="0.75" header="0.3" footer="0.3"/>
  <pageSetup orientation="portrait" r:id="rId6"/>
  <extLst>
    <ext xmlns:x14="http://schemas.microsoft.com/office/spreadsheetml/2009/9/main" uri="{78C0D931-6437-407d-A8EE-F0AAD7539E65}">
      <x14:conditionalFormattings>
        <x14:conditionalFormatting xmlns:xm="http://schemas.microsoft.com/office/excel/2006/main">
          <x14:cfRule type="dataBar" id="{5749CB21-CC24-47F7-B259-D0CF85EEB777}">
            <x14:dataBar minLength="0" maxLength="100" border="1" negativeBarBorderColorSameAsPositive="0">
              <x14:cfvo type="autoMin"/>
              <x14:cfvo type="autoMax"/>
              <x14:borderColor rgb="FF638EC6"/>
              <x14:negativeFillColor rgb="FFFF0000"/>
              <x14:negativeBorderColor rgb="FFFF0000"/>
              <x14:axisColor rgb="FF000000"/>
            </x14:dataBar>
          </x14:cfRule>
          <xm:sqref>J3</xm:sqref>
        </x14:conditionalFormatting>
        <x14:conditionalFormatting xmlns:xm="http://schemas.microsoft.com/office/excel/2006/main">
          <x14:cfRule type="dataBar" id="{A1E66E3C-807E-4051-823B-C57CD0E8D7D9}">
            <x14:dataBar minLength="0" maxLength="100" border="1" negativeBarBorderColorSameAsPositive="0">
              <x14:cfvo type="autoMin"/>
              <x14:cfvo type="autoMax"/>
              <x14:borderColor rgb="FF638EC6"/>
              <x14:negativeFillColor rgb="FFFF0000"/>
              <x14:negativeBorderColor rgb="FFFF0000"/>
              <x14:axisColor rgb="FF000000"/>
            </x14:dataBar>
          </x14:cfRule>
          <xm:sqref>J3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4ABB0-16EF-4278-BB7D-06E5EFA77113}">
  <sheetPr codeName="Sheet2"/>
  <dimension ref="A1"/>
  <sheetViews>
    <sheetView showGridLines="0" tabSelected="1" workbookViewId="0">
      <selection activeCell="S9" sqref="S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K201"/>
  <sheetViews>
    <sheetView workbookViewId="0">
      <selection activeCell="B2" sqref="B2:B1048576"/>
    </sheetView>
  </sheetViews>
  <sheetFormatPr defaultRowHeight="15" x14ac:dyDescent="0.25"/>
  <cols>
    <col min="2" max="2" width="10.42578125" style="8" bestFit="1" customWidth="1"/>
  </cols>
  <sheetData>
    <row r="1" spans="1:11" x14ac:dyDescent="0.25">
      <c r="A1" s="1" t="s">
        <v>0</v>
      </c>
      <c r="B1" s="1" t="s">
        <v>1</v>
      </c>
      <c r="C1" s="1" t="s">
        <v>2</v>
      </c>
      <c r="D1" s="1" t="s">
        <v>3</v>
      </c>
      <c r="E1" s="1" t="s">
        <v>4</v>
      </c>
      <c r="F1" s="1" t="s">
        <v>5</v>
      </c>
      <c r="G1" s="1" t="s">
        <v>6</v>
      </c>
      <c r="H1" s="1" t="s">
        <v>7</v>
      </c>
      <c r="I1" s="1" t="s">
        <v>8</v>
      </c>
      <c r="J1" s="1" t="s">
        <v>228</v>
      </c>
      <c r="K1" s="1" t="s">
        <v>229</v>
      </c>
    </row>
    <row r="2" spans="1:11" x14ac:dyDescent="0.25">
      <c r="A2" t="s">
        <v>9</v>
      </c>
      <c r="B2" s="8">
        <v>45784</v>
      </c>
      <c r="C2" t="s">
        <v>209</v>
      </c>
      <c r="D2" t="s">
        <v>219</v>
      </c>
      <c r="E2" t="s">
        <v>222</v>
      </c>
      <c r="F2">
        <v>1</v>
      </c>
      <c r="G2">
        <v>2000</v>
      </c>
      <c r="H2">
        <v>1400</v>
      </c>
      <c r="I2" t="s">
        <v>226</v>
      </c>
      <c r="J2">
        <f t="shared" ref="J2:J33" si="0">F2*G2</f>
        <v>2000</v>
      </c>
      <c r="K2">
        <f t="shared" ref="K2:K33" si="1">F2*(G2-H2)</f>
        <v>600</v>
      </c>
    </row>
    <row r="3" spans="1:11" x14ac:dyDescent="0.25">
      <c r="A3" t="s">
        <v>10</v>
      </c>
      <c r="B3" s="8">
        <v>45804</v>
      </c>
      <c r="C3" t="s">
        <v>210</v>
      </c>
      <c r="D3" t="s">
        <v>220</v>
      </c>
      <c r="E3" t="s">
        <v>223</v>
      </c>
      <c r="F3">
        <v>2</v>
      </c>
      <c r="G3">
        <v>1500</v>
      </c>
      <c r="H3">
        <v>900</v>
      </c>
      <c r="I3" t="s">
        <v>226</v>
      </c>
      <c r="J3">
        <f t="shared" si="0"/>
        <v>3000</v>
      </c>
      <c r="K3">
        <f t="shared" si="1"/>
        <v>1200</v>
      </c>
    </row>
    <row r="4" spans="1:11" x14ac:dyDescent="0.25">
      <c r="A4" t="s">
        <v>11</v>
      </c>
      <c r="B4" s="8">
        <v>45725</v>
      </c>
      <c r="C4" t="s">
        <v>211</v>
      </c>
      <c r="D4" t="s">
        <v>220</v>
      </c>
      <c r="E4" t="s">
        <v>223</v>
      </c>
      <c r="F4">
        <v>1</v>
      </c>
      <c r="G4">
        <v>500</v>
      </c>
      <c r="H4">
        <v>300</v>
      </c>
      <c r="I4" t="s">
        <v>226</v>
      </c>
      <c r="J4">
        <f t="shared" si="0"/>
        <v>500</v>
      </c>
      <c r="K4">
        <f t="shared" si="1"/>
        <v>200</v>
      </c>
    </row>
    <row r="5" spans="1:11" x14ac:dyDescent="0.25">
      <c r="A5" t="s">
        <v>12</v>
      </c>
      <c r="B5" s="8">
        <v>45788</v>
      </c>
      <c r="C5" t="s">
        <v>212</v>
      </c>
      <c r="D5" t="s">
        <v>219</v>
      </c>
      <c r="E5" t="s">
        <v>223</v>
      </c>
      <c r="F5">
        <v>10</v>
      </c>
      <c r="G5">
        <v>800</v>
      </c>
      <c r="H5">
        <v>500</v>
      </c>
      <c r="I5" t="s">
        <v>226</v>
      </c>
      <c r="J5">
        <f t="shared" si="0"/>
        <v>8000</v>
      </c>
      <c r="K5">
        <f t="shared" si="1"/>
        <v>3000</v>
      </c>
    </row>
    <row r="6" spans="1:11" x14ac:dyDescent="0.25">
      <c r="A6" t="s">
        <v>13</v>
      </c>
      <c r="B6" s="8">
        <v>45782</v>
      </c>
      <c r="C6" t="s">
        <v>212</v>
      </c>
      <c r="D6" t="s">
        <v>219</v>
      </c>
      <c r="E6" t="s">
        <v>224</v>
      </c>
      <c r="F6">
        <v>7</v>
      </c>
      <c r="G6">
        <v>800</v>
      </c>
      <c r="H6">
        <v>500</v>
      </c>
      <c r="I6" t="s">
        <v>226</v>
      </c>
      <c r="J6">
        <f t="shared" si="0"/>
        <v>5600</v>
      </c>
      <c r="K6">
        <f t="shared" si="1"/>
        <v>2100</v>
      </c>
    </row>
    <row r="7" spans="1:11" x14ac:dyDescent="0.25">
      <c r="A7" t="s">
        <v>14</v>
      </c>
      <c r="B7" s="8">
        <v>45683</v>
      </c>
      <c r="C7" t="s">
        <v>213</v>
      </c>
      <c r="D7" t="s">
        <v>221</v>
      </c>
      <c r="E7" t="s">
        <v>224</v>
      </c>
      <c r="F7">
        <v>1</v>
      </c>
      <c r="G7">
        <v>1200</v>
      </c>
      <c r="H7">
        <v>800</v>
      </c>
      <c r="I7" t="s">
        <v>226</v>
      </c>
      <c r="J7">
        <f t="shared" si="0"/>
        <v>1200</v>
      </c>
      <c r="K7">
        <f t="shared" si="1"/>
        <v>400</v>
      </c>
    </row>
    <row r="8" spans="1:11" x14ac:dyDescent="0.25">
      <c r="A8" t="s">
        <v>15</v>
      </c>
      <c r="B8" s="8">
        <v>45722</v>
      </c>
      <c r="C8" t="s">
        <v>214</v>
      </c>
      <c r="D8" t="s">
        <v>221</v>
      </c>
      <c r="E8" t="s">
        <v>224</v>
      </c>
      <c r="F8">
        <v>5</v>
      </c>
      <c r="G8">
        <v>3000</v>
      </c>
      <c r="H8">
        <v>2000</v>
      </c>
      <c r="I8" t="s">
        <v>226</v>
      </c>
      <c r="J8">
        <f t="shared" si="0"/>
        <v>15000</v>
      </c>
      <c r="K8">
        <f t="shared" si="1"/>
        <v>5000</v>
      </c>
    </row>
    <row r="9" spans="1:11" x14ac:dyDescent="0.25">
      <c r="A9" t="s">
        <v>16</v>
      </c>
      <c r="B9" s="8">
        <v>45819</v>
      </c>
      <c r="C9" t="s">
        <v>214</v>
      </c>
      <c r="D9" t="s">
        <v>221</v>
      </c>
      <c r="E9" t="s">
        <v>223</v>
      </c>
      <c r="F9">
        <v>2</v>
      </c>
      <c r="G9">
        <v>3000</v>
      </c>
      <c r="H9">
        <v>2000</v>
      </c>
      <c r="I9" t="s">
        <v>226</v>
      </c>
      <c r="J9">
        <f t="shared" si="0"/>
        <v>6000</v>
      </c>
      <c r="K9">
        <f t="shared" si="1"/>
        <v>2000</v>
      </c>
    </row>
    <row r="10" spans="1:11" x14ac:dyDescent="0.25">
      <c r="A10" t="s">
        <v>17</v>
      </c>
      <c r="B10" s="8">
        <v>45737</v>
      </c>
      <c r="C10" t="s">
        <v>214</v>
      </c>
      <c r="D10" t="s">
        <v>221</v>
      </c>
      <c r="E10" t="s">
        <v>222</v>
      </c>
      <c r="F10">
        <v>6</v>
      </c>
      <c r="G10">
        <v>3000</v>
      </c>
      <c r="H10">
        <v>2000</v>
      </c>
      <c r="I10" t="s">
        <v>226</v>
      </c>
      <c r="J10">
        <f t="shared" si="0"/>
        <v>18000</v>
      </c>
      <c r="K10">
        <f t="shared" si="1"/>
        <v>6000</v>
      </c>
    </row>
    <row r="11" spans="1:11" x14ac:dyDescent="0.25">
      <c r="A11" t="s">
        <v>18</v>
      </c>
      <c r="B11" s="8">
        <v>45780</v>
      </c>
      <c r="C11" t="s">
        <v>215</v>
      </c>
      <c r="D11" t="s">
        <v>220</v>
      </c>
      <c r="E11" t="s">
        <v>223</v>
      </c>
      <c r="F11">
        <v>9</v>
      </c>
      <c r="G11">
        <v>300</v>
      </c>
      <c r="H11">
        <v>150</v>
      </c>
      <c r="I11" t="s">
        <v>226</v>
      </c>
      <c r="J11">
        <f t="shared" si="0"/>
        <v>2700</v>
      </c>
      <c r="K11">
        <f t="shared" si="1"/>
        <v>1350</v>
      </c>
    </row>
    <row r="12" spans="1:11" x14ac:dyDescent="0.25">
      <c r="A12" t="s">
        <v>19</v>
      </c>
      <c r="B12" s="8">
        <v>45810</v>
      </c>
      <c r="C12" t="s">
        <v>216</v>
      </c>
      <c r="D12" t="s">
        <v>221</v>
      </c>
      <c r="E12" t="s">
        <v>222</v>
      </c>
      <c r="F12">
        <v>2</v>
      </c>
      <c r="G12">
        <v>1000</v>
      </c>
      <c r="H12">
        <v>600</v>
      </c>
      <c r="I12" t="s">
        <v>226</v>
      </c>
      <c r="J12">
        <f t="shared" si="0"/>
        <v>2000</v>
      </c>
      <c r="K12">
        <f t="shared" si="1"/>
        <v>800</v>
      </c>
    </row>
    <row r="13" spans="1:11" x14ac:dyDescent="0.25">
      <c r="A13" t="s">
        <v>20</v>
      </c>
      <c r="B13" s="8">
        <v>45729</v>
      </c>
      <c r="C13" t="s">
        <v>217</v>
      </c>
      <c r="D13" t="s">
        <v>221</v>
      </c>
      <c r="E13" t="s">
        <v>224</v>
      </c>
      <c r="F13">
        <v>6</v>
      </c>
      <c r="G13">
        <v>700</v>
      </c>
      <c r="H13">
        <v>400</v>
      </c>
      <c r="I13" t="s">
        <v>226</v>
      </c>
      <c r="J13">
        <f t="shared" si="0"/>
        <v>4200</v>
      </c>
      <c r="K13">
        <f t="shared" si="1"/>
        <v>1800</v>
      </c>
    </row>
    <row r="14" spans="1:11" x14ac:dyDescent="0.25">
      <c r="A14" t="s">
        <v>21</v>
      </c>
      <c r="B14" s="8">
        <v>45719</v>
      </c>
      <c r="C14" t="s">
        <v>211</v>
      </c>
      <c r="D14" t="s">
        <v>220</v>
      </c>
      <c r="E14" t="s">
        <v>222</v>
      </c>
      <c r="F14">
        <v>4</v>
      </c>
      <c r="G14">
        <v>500</v>
      </c>
      <c r="H14">
        <v>300</v>
      </c>
      <c r="I14" t="s">
        <v>226</v>
      </c>
      <c r="J14">
        <f t="shared" si="0"/>
        <v>2000</v>
      </c>
      <c r="K14">
        <f t="shared" si="1"/>
        <v>800</v>
      </c>
    </row>
    <row r="15" spans="1:11" x14ac:dyDescent="0.25">
      <c r="A15" t="s">
        <v>22</v>
      </c>
      <c r="B15" s="8">
        <v>45814</v>
      </c>
      <c r="C15" t="s">
        <v>218</v>
      </c>
      <c r="D15" t="s">
        <v>220</v>
      </c>
      <c r="E15" t="s">
        <v>225</v>
      </c>
      <c r="F15">
        <v>2</v>
      </c>
      <c r="G15">
        <v>2500</v>
      </c>
      <c r="H15">
        <v>1800</v>
      </c>
      <c r="I15" t="s">
        <v>226</v>
      </c>
      <c r="J15">
        <f t="shared" si="0"/>
        <v>5000</v>
      </c>
      <c r="K15">
        <f t="shared" si="1"/>
        <v>1400</v>
      </c>
    </row>
    <row r="16" spans="1:11" x14ac:dyDescent="0.25">
      <c r="A16" t="s">
        <v>23</v>
      </c>
      <c r="B16" s="8">
        <v>45753</v>
      </c>
      <c r="C16" t="s">
        <v>214</v>
      </c>
      <c r="D16" t="s">
        <v>221</v>
      </c>
      <c r="E16" t="s">
        <v>222</v>
      </c>
      <c r="F16">
        <v>3</v>
      </c>
      <c r="G16">
        <v>3000</v>
      </c>
      <c r="H16">
        <v>2000</v>
      </c>
      <c r="I16" t="s">
        <v>226</v>
      </c>
      <c r="J16">
        <f t="shared" si="0"/>
        <v>9000</v>
      </c>
      <c r="K16">
        <f t="shared" si="1"/>
        <v>3000</v>
      </c>
    </row>
    <row r="17" spans="1:11" x14ac:dyDescent="0.25">
      <c r="A17" t="s">
        <v>24</v>
      </c>
      <c r="B17" s="8">
        <v>45853</v>
      </c>
      <c r="C17" t="s">
        <v>213</v>
      </c>
      <c r="D17" t="s">
        <v>221</v>
      </c>
      <c r="E17" t="s">
        <v>224</v>
      </c>
      <c r="F17">
        <v>2</v>
      </c>
      <c r="G17">
        <v>1200</v>
      </c>
      <c r="H17">
        <v>800</v>
      </c>
      <c r="I17" t="s">
        <v>226</v>
      </c>
      <c r="J17">
        <f t="shared" si="0"/>
        <v>2400</v>
      </c>
      <c r="K17">
        <f t="shared" si="1"/>
        <v>800</v>
      </c>
    </row>
    <row r="18" spans="1:11" x14ac:dyDescent="0.25">
      <c r="A18" t="s">
        <v>25</v>
      </c>
      <c r="B18" s="8">
        <v>45687</v>
      </c>
      <c r="C18" t="s">
        <v>218</v>
      </c>
      <c r="D18" t="s">
        <v>220</v>
      </c>
      <c r="E18" t="s">
        <v>225</v>
      </c>
      <c r="F18">
        <v>3</v>
      </c>
      <c r="G18">
        <v>2500</v>
      </c>
      <c r="H18">
        <v>1800</v>
      </c>
      <c r="I18" t="s">
        <v>226</v>
      </c>
      <c r="J18">
        <f t="shared" si="0"/>
        <v>7500</v>
      </c>
      <c r="K18">
        <f t="shared" si="1"/>
        <v>2100</v>
      </c>
    </row>
    <row r="19" spans="1:11" x14ac:dyDescent="0.25">
      <c r="A19" t="s">
        <v>26</v>
      </c>
      <c r="B19" s="8">
        <v>45750</v>
      </c>
      <c r="C19" t="s">
        <v>212</v>
      </c>
      <c r="D19" t="s">
        <v>219</v>
      </c>
      <c r="E19" t="s">
        <v>222</v>
      </c>
      <c r="F19">
        <v>4</v>
      </c>
      <c r="G19">
        <v>800</v>
      </c>
      <c r="H19">
        <v>500</v>
      </c>
      <c r="I19" t="s">
        <v>226</v>
      </c>
      <c r="J19">
        <f t="shared" si="0"/>
        <v>3200</v>
      </c>
      <c r="K19">
        <f t="shared" si="1"/>
        <v>1200</v>
      </c>
    </row>
    <row r="20" spans="1:11" x14ac:dyDescent="0.25">
      <c r="A20" t="s">
        <v>27</v>
      </c>
      <c r="B20" s="8">
        <v>45782</v>
      </c>
      <c r="C20" t="s">
        <v>211</v>
      </c>
      <c r="D20" t="s">
        <v>220</v>
      </c>
      <c r="E20" t="s">
        <v>223</v>
      </c>
      <c r="F20">
        <v>4</v>
      </c>
      <c r="G20">
        <v>500</v>
      </c>
      <c r="H20">
        <v>300</v>
      </c>
      <c r="I20" t="s">
        <v>226</v>
      </c>
      <c r="J20">
        <f t="shared" si="0"/>
        <v>2000</v>
      </c>
      <c r="K20">
        <f t="shared" si="1"/>
        <v>800</v>
      </c>
    </row>
    <row r="21" spans="1:11" x14ac:dyDescent="0.25">
      <c r="A21" t="s">
        <v>28</v>
      </c>
      <c r="B21" s="8">
        <v>45863</v>
      </c>
      <c r="C21" t="s">
        <v>216</v>
      </c>
      <c r="D21" t="s">
        <v>221</v>
      </c>
      <c r="E21" t="s">
        <v>223</v>
      </c>
      <c r="F21">
        <v>5</v>
      </c>
      <c r="G21">
        <v>1000</v>
      </c>
      <c r="H21">
        <v>600</v>
      </c>
      <c r="I21" t="s">
        <v>226</v>
      </c>
      <c r="J21">
        <f t="shared" si="0"/>
        <v>5000</v>
      </c>
      <c r="K21">
        <f t="shared" si="1"/>
        <v>2000</v>
      </c>
    </row>
    <row r="22" spans="1:11" x14ac:dyDescent="0.25">
      <c r="A22" t="s">
        <v>29</v>
      </c>
      <c r="B22" s="8">
        <v>45714</v>
      </c>
      <c r="C22" t="s">
        <v>217</v>
      </c>
      <c r="D22" t="s">
        <v>221</v>
      </c>
      <c r="E22" t="s">
        <v>224</v>
      </c>
      <c r="F22">
        <v>6</v>
      </c>
      <c r="G22">
        <v>700</v>
      </c>
      <c r="H22">
        <v>400</v>
      </c>
      <c r="I22" t="s">
        <v>226</v>
      </c>
      <c r="J22">
        <f t="shared" si="0"/>
        <v>4200</v>
      </c>
      <c r="K22">
        <f t="shared" si="1"/>
        <v>1800</v>
      </c>
    </row>
    <row r="23" spans="1:11" x14ac:dyDescent="0.25">
      <c r="A23" t="s">
        <v>30</v>
      </c>
      <c r="B23" s="8">
        <v>45825</v>
      </c>
      <c r="C23" t="s">
        <v>216</v>
      </c>
      <c r="D23" t="s">
        <v>221</v>
      </c>
      <c r="E23" t="s">
        <v>224</v>
      </c>
      <c r="F23">
        <v>8</v>
      </c>
      <c r="G23">
        <v>1000</v>
      </c>
      <c r="H23">
        <v>600</v>
      </c>
      <c r="I23" t="s">
        <v>226</v>
      </c>
      <c r="J23">
        <f t="shared" si="0"/>
        <v>8000</v>
      </c>
      <c r="K23">
        <f t="shared" si="1"/>
        <v>3200</v>
      </c>
    </row>
    <row r="24" spans="1:11" x14ac:dyDescent="0.25">
      <c r="A24" t="s">
        <v>31</v>
      </c>
      <c r="B24" s="8">
        <v>45796</v>
      </c>
      <c r="C24" t="s">
        <v>218</v>
      </c>
      <c r="D24" t="s">
        <v>220</v>
      </c>
      <c r="E24" t="s">
        <v>222</v>
      </c>
      <c r="F24">
        <v>9</v>
      </c>
      <c r="G24">
        <v>2500</v>
      </c>
      <c r="H24">
        <v>1800</v>
      </c>
      <c r="I24" t="s">
        <v>226</v>
      </c>
      <c r="J24">
        <f t="shared" si="0"/>
        <v>22500</v>
      </c>
      <c r="K24">
        <f t="shared" si="1"/>
        <v>6300</v>
      </c>
    </row>
    <row r="25" spans="1:11" x14ac:dyDescent="0.25">
      <c r="A25" t="s">
        <v>32</v>
      </c>
      <c r="B25" s="8">
        <v>45742</v>
      </c>
      <c r="C25" t="s">
        <v>216</v>
      </c>
      <c r="D25" t="s">
        <v>221</v>
      </c>
      <c r="E25" t="s">
        <v>225</v>
      </c>
      <c r="F25">
        <v>10</v>
      </c>
      <c r="G25">
        <v>1000</v>
      </c>
      <c r="H25">
        <v>600</v>
      </c>
      <c r="I25" t="s">
        <v>226</v>
      </c>
      <c r="J25">
        <f t="shared" si="0"/>
        <v>10000</v>
      </c>
      <c r="K25">
        <f t="shared" si="1"/>
        <v>4000</v>
      </c>
    </row>
    <row r="26" spans="1:11" x14ac:dyDescent="0.25">
      <c r="A26" t="s">
        <v>33</v>
      </c>
      <c r="B26" s="8">
        <v>45799</v>
      </c>
      <c r="C26" t="s">
        <v>210</v>
      </c>
      <c r="D26" t="s">
        <v>220</v>
      </c>
      <c r="E26" t="s">
        <v>225</v>
      </c>
      <c r="F26">
        <v>9</v>
      </c>
      <c r="G26">
        <v>1500</v>
      </c>
      <c r="H26">
        <v>900</v>
      </c>
      <c r="I26" t="s">
        <v>227</v>
      </c>
      <c r="J26">
        <f t="shared" si="0"/>
        <v>13500</v>
      </c>
      <c r="K26">
        <f t="shared" si="1"/>
        <v>5400</v>
      </c>
    </row>
    <row r="27" spans="1:11" x14ac:dyDescent="0.25">
      <c r="A27" t="s">
        <v>34</v>
      </c>
      <c r="B27" s="8">
        <v>45861</v>
      </c>
      <c r="C27" t="s">
        <v>211</v>
      </c>
      <c r="D27" t="s">
        <v>220</v>
      </c>
      <c r="E27" t="s">
        <v>224</v>
      </c>
      <c r="F27">
        <v>2</v>
      </c>
      <c r="G27">
        <v>500</v>
      </c>
      <c r="H27">
        <v>300</v>
      </c>
      <c r="I27" t="s">
        <v>226</v>
      </c>
      <c r="J27">
        <f t="shared" si="0"/>
        <v>1000</v>
      </c>
      <c r="K27">
        <f t="shared" si="1"/>
        <v>400</v>
      </c>
    </row>
    <row r="28" spans="1:11" x14ac:dyDescent="0.25">
      <c r="A28" t="s">
        <v>35</v>
      </c>
      <c r="B28" s="8">
        <v>45846</v>
      </c>
      <c r="C28" t="s">
        <v>216</v>
      </c>
      <c r="D28" t="s">
        <v>221</v>
      </c>
      <c r="E28" t="s">
        <v>223</v>
      </c>
      <c r="F28">
        <v>10</v>
      </c>
      <c r="G28">
        <v>1000</v>
      </c>
      <c r="H28">
        <v>600</v>
      </c>
      <c r="I28" t="s">
        <v>226</v>
      </c>
      <c r="J28">
        <f t="shared" si="0"/>
        <v>10000</v>
      </c>
      <c r="K28">
        <f t="shared" si="1"/>
        <v>4000</v>
      </c>
    </row>
    <row r="29" spans="1:11" x14ac:dyDescent="0.25">
      <c r="A29" t="s">
        <v>36</v>
      </c>
      <c r="B29" s="8">
        <v>45762</v>
      </c>
      <c r="C29" t="s">
        <v>217</v>
      </c>
      <c r="D29" t="s">
        <v>221</v>
      </c>
      <c r="E29" t="s">
        <v>222</v>
      </c>
      <c r="F29">
        <v>8</v>
      </c>
      <c r="G29">
        <v>700</v>
      </c>
      <c r="H29">
        <v>400</v>
      </c>
      <c r="I29" t="s">
        <v>226</v>
      </c>
      <c r="J29">
        <f t="shared" si="0"/>
        <v>5600</v>
      </c>
      <c r="K29">
        <f t="shared" si="1"/>
        <v>2400</v>
      </c>
    </row>
    <row r="30" spans="1:11" x14ac:dyDescent="0.25">
      <c r="A30" t="s">
        <v>37</v>
      </c>
      <c r="B30" s="8">
        <v>45722</v>
      </c>
      <c r="C30" t="s">
        <v>211</v>
      </c>
      <c r="D30" t="s">
        <v>220</v>
      </c>
      <c r="E30" t="s">
        <v>222</v>
      </c>
      <c r="F30">
        <v>2</v>
      </c>
      <c r="G30">
        <v>500</v>
      </c>
      <c r="H30">
        <v>300</v>
      </c>
      <c r="I30" t="s">
        <v>226</v>
      </c>
      <c r="J30">
        <f t="shared" si="0"/>
        <v>1000</v>
      </c>
      <c r="K30">
        <f t="shared" si="1"/>
        <v>400</v>
      </c>
    </row>
    <row r="31" spans="1:11" x14ac:dyDescent="0.25">
      <c r="A31" t="s">
        <v>38</v>
      </c>
      <c r="B31" s="8">
        <v>45829</v>
      </c>
      <c r="C31" t="s">
        <v>214</v>
      </c>
      <c r="D31" t="s">
        <v>221</v>
      </c>
      <c r="E31" t="s">
        <v>222</v>
      </c>
      <c r="F31">
        <v>2</v>
      </c>
      <c r="G31">
        <v>3000</v>
      </c>
      <c r="H31">
        <v>2000</v>
      </c>
      <c r="I31" t="s">
        <v>226</v>
      </c>
      <c r="J31">
        <f t="shared" si="0"/>
        <v>6000</v>
      </c>
      <c r="K31">
        <f t="shared" si="1"/>
        <v>2000</v>
      </c>
    </row>
    <row r="32" spans="1:11" x14ac:dyDescent="0.25">
      <c r="A32" t="s">
        <v>39</v>
      </c>
      <c r="B32" s="8">
        <v>45718</v>
      </c>
      <c r="C32" t="s">
        <v>215</v>
      </c>
      <c r="D32" t="s">
        <v>220</v>
      </c>
      <c r="E32" t="s">
        <v>222</v>
      </c>
      <c r="F32">
        <v>1</v>
      </c>
      <c r="G32">
        <v>300</v>
      </c>
      <c r="H32">
        <v>150</v>
      </c>
      <c r="I32" t="s">
        <v>226</v>
      </c>
      <c r="J32">
        <f t="shared" si="0"/>
        <v>300</v>
      </c>
      <c r="K32">
        <f t="shared" si="1"/>
        <v>150</v>
      </c>
    </row>
    <row r="33" spans="1:11" x14ac:dyDescent="0.25">
      <c r="A33" t="s">
        <v>40</v>
      </c>
      <c r="B33" s="8">
        <v>45765</v>
      </c>
      <c r="C33" t="s">
        <v>210</v>
      </c>
      <c r="D33" t="s">
        <v>220</v>
      </c>
      <c r="E33" t="s">
        <v>223</v>
      </c>
      <c r="F33">
        <v>9</v>
      </c>
      <c r="G33">
        <v>1500</v>
      </c>
      <c r="H33">
        <v>900</v>
      </c>
      <c r="I33" t="s">
        <v>226</v>
      </c>
      <c r="J33">
        <f t="shared" si="0"/>
        <v>13500</v>
      </c>
      <c r="K33">
        <f t="shared" si="1"/>
        <v>5400</v>
      </c>
    </row>
    <row r="34" spans="1:11" x14ac:dyDescent="0.25">
      <c r="A34" t="s">
        <v>41</v>
      </c>
      <c r="B34" s="8">
        <v>45827</v>
      </c>
      <c r="C34" t="s">
        <v>213</v>
      </c>
      <c r="D34" t="s">
        <v>221</v>
      </c>
      <c r="E34" t="s">
        <v>224</v>
      </c>
      <c r="F34">
        <v>9</v>
      </c>
      <c r="G34">
        <v>1200</v>
      </c>
      <c r="H34">
        <v>800</v>
      </c>
      <c r="I34" t="s">
        <v>226</v>
      </c>
      <c r="J34">
        <f t="shared" ref="J34:J65" si="2">F34*G34</f>
        <v>10800</v>
      </c>
      <c r="K34">
        <f t="shared" ref="K34:K65" si="3">F34*(G34-H34)</f>
        <v>3600</v>
      </c>
    </row>
    <row r="35" spans="1:11" x14ac:dyDescent="0.25">
      <c r="A35" t="s">
        <v>42</v>
      </c>
      <c r="B35" s="8">
        <v>45819</v>
      </c>
      <c r="C35" t="s">
        <v>210</v>
      </c>
      <c r="D35" t="s">
        <v>220</v>
      </c>
      <c r="E35" t="s">
        <v>223</v>
      </c>
      <c r="F35">
        <v>9</v>
      </c>
      <c r="G35">
        <v>1500</v>
      </c>
      <c r="H35">
        <v>900</v>
      </c>
      <c r="I35" t="s">
        <v>226</v>
      </c>
      <c r="J35">
        <f t="shared" si="2"/>
        <v>13500</v>
      </c>
      <c r="K35">
        <f t="shared" si="3"/>
        <v>5400</v>
      </c>
    </row>
    <row r="36" spans="1:11" x14ac:dyDescent="0.25">
      <c r="A36" t="s">
        <v>43</v>
      </c>
      <c r="B36" s="8">
        <v>45713</v>
      </c>
      <c r="C36" t="s">
        <v>215</v>
      </c>
      <c r="D36" t="s">
        <v>220</v>
      </c>
      <c r="E36" t="s">
        <v>223</v>
      </c>
      <c r="F36">
        <v>1</v>
      </c>
      <c r="G36">
        <v>300</v>
      </c>
      <c r="H36">
        <v>150</v>
      </c>
      <c r="I36" t="s">
        <v>226</v>
      </c>
      <c r="J36">
        <f t="shared" si="2"/>
        <v>300</v>
      </c>
      <c r="K36">
        <f t="shared" si="3"/>
        <v>150</v>
      </c>
    </row>
    <row r="37" spans="1:11" x14ac:dyDescent="0.25">
      <c r="A37" t="s">
        <v>44</v>
      </c>
      <c r="B37" s="8">
        <v>45737</v>
      </c>
      <c r="C37" t="s">
        <v>213</v>
      </c>
      <c r="D37" t="s">
        <v>221</v>
      </c>
      <c r="E37" t="s">
        <v>223</v>
      </c>
      <c r="F37">
        <v>4</v>
      </c>
      <c r="G37">
        <v>1200</v>
      </c>
      <c r="H37">
        <v>800</v>
      </c>
      <c r="I37" t="s">
        <v>226</v>
      </c>
      <c r="J37">
        <f t="shared" si="2"/>
        <v>4800</v>
      </c>
      <c r="K37">
        <f t="shared" si="3"/>
        <v>1600</v>
      </c>
    </row>
    <row r="38" spans="1:11" x14ac:dyDescent="0.25">
      <c r="A38" t="s">
        <v>45</v>
      </c>
      <c r="B38" s="8">
        <v>45700</v>
      </c>
      <c r="C38" t="s">
        <v>217</v>
      </c>
      <c r="D38" t="s">
        <v>221</v>
      </c>
      <c r="E38" t="s">
        <v>223</v>
      </c>
      <c r="F38">
        <v>2</v>
      </c>
      <c r="G38">
        <v>700</v>
      </c>
      <c r="H38">
        <v>400</v>
      </c>
      <c r="I38" t="s">
        <v>226</v>
      </c>
      <c r="J38">
        <f t="shared" si="2"/>
        <v>1400</v>
      </c>
      <c r="K38">
        <f t="shared" si="3"/>
        <v>600</v>
      </c>
    </row>
    <row r="39" spans="1:11" x14ac:dyDescent="0.25">
      <c r="A39" t="s">
        <v>46</v>
      </c>
      <c r="B39" s="8">
        <v>45812</v>
      </c>
      <c r="C39" t="s">
        <v>209</v>
      </c>
      <c r="D39" t="s">
        <v>219</v>
      </c>
      <c r="E39" t="s">
        <v>224</v>
      </c>
      <c r="F39">
        <v>9</v>
      </c>
      <c r="G39">
        <v>2000</v>
      </c>
      <c r="H39">
        <v>1400</v>
      </c>
      <c r="I39" t="s">
        <v>226</v>
      </c>
      <c r="J39">
        <f t="shared" si="2"/>
        <v>18000</v>
      </c>
      <c r="K39">
        <f t="shared" si="3"/>
        <v>5400</v>
      </c>
    </row>
    <row r="40" spans="1:11" x14ac:dyDescent="0.25">
      <c r="A40" t="s">
        <v>47</v>
      </c>
      <c r="B40" s="8">
        <v>45829</v>
      </c>
      <c r="C40" t="s">
        <v>215</v>
      </c>
      <c r="D40" t="s">
        <v>220</v>
      </c>
      <c r="E40" t="s">
        <v>224</v>
      </c>
      <c r="F40">
        <v>9</v>
      </c>
      <c r="G40">
        <v>300</v>
      </c>
      <c r="H40">
        <v>150</v>
      </c>
      <c r="I40" t="s">
        <v>226</v>
      </c>
      <c r="J40">
        <f t="shared" si="2"/>
        <v>2700</v>
      </c>
      <c r="K40">
        <f t="shared" si="3"/>
        <v>1350</v>
      </c>
    </row>
    <row r="41" spans="1:11" x14ac:dyDescent="0.25">
      <c r="A41" t="s">
        <v>48</v>
      </c>
      <c r="B41" s="8">
        <v>45687</v>
      </c>
      <c r="C41" t="s">
        <v>217</v>
      </c>
      <c r="D41" t="s">
        <v>221</v>
      </c>
      <c r="E41" t="s">
        <v>224</v>
      </c>
      <c r="F41">
        <v>7</v>
      </c>
      <c r="G41">
        <v>700</v>
      </c>
      <c r="H41">
        <v>400</v>
      </c>
      <c r="I41" t="s">
        <v>226</v>
      </c>
      <c r="J41">
        <f t="shared" si="2"/>
        <v>4900</v>
      </c>
      <c r="K41">
        <f t="shared" si="3"/>
        <v>2100</v>
      </c>
    </row>
    <row r="42" spans="1:11" x14ac:dyDescent="0.25">
      <c r="A42" t="s">
        <v>49</v>
      </c>
      <c r="B42" s="8">
        <v>45700</v>
      </c>
      <c r="C42" t="s">
        <v>218</v>
      </c>
      <c r="D42" t="s">
        <v>220</v>
      </c>
      <c r="E42" t="s">
        <v>225</v>
      </c>
      <c r="F42">
        <v>5</v>
      </c>
      <c r="G42">
        <v>2500</v>
      </c>
      <c r="H42">
        <v>1800</v>
      </c>
      <c r="I42" t="s">
        <v>226</v>
      </c>
      <c r="J42">
        <f t="shared" si="2"/>
        <v>12500</v>
      </c>
      <c r="K42">
        <f t="shared" si="3"/>
        <v>3500</v>
      </c>
    </row>
    <row r="43" spans="1:11" x14ac:dyDescent="0.25">
      <c r="A43" t="s">
        <v>50</v>
      </c>
      <c r="B43" s="8">
        <v>45843</v>
      </c>
      <c r="C43" t="s">
        <v>214</v>
      </c>
      <c r="D43" t="s">
        <v>221</v>
      </c>
      <c r="E43" t="s">
        <v>225</v>
      </c>
      <c r="F43">
        <v>8</v>
      </c>
      <c r="G43">
        <v>3000</v>
      </c>
      <c r="H43">
        <v>2000</v>
      </c>
      <c r="I43" t="s">
        <v>226</v>
      </c>
      <c r="J43">
        <f t="shared" si="2"/>
        <v>24000</v>
      </c>
      <c r="K43">
        <f t="shared" si="3"/>
        <v>8000</v>
      </c>
    </row>
    <row r="44" spans="1:11" x14ac:dyDescent="0.25">
      <c r="A44" t="s">
        <v>51</v>
      </c>
      <c r="B44" s="8">
        <v>45690</v>
      </c>
      <c r="C44" t="s">
        <v>218</v>
      </c>
      <c r="D44" t="s">
        <v>220</v>
      </c>
      <c r="E44" t="s">
        <v>222</v>
      </c>
      <c r="F44">
        <v>2</v>
      </c>
      <c r="G44">
        <v>2500</v>
      </c>
      <c r="H44">
        <v>1800</v>
      </c>
      <c r="I44" t="s">
        <v>227</v>
      </c>
      <c r="J44">
        <f t="shared" si="2"/>
        <v>5000</v>
      </c>
      <c r="K44">
        <f t="shared" si="3"/>
        <v>1400</v>
      </c>
    </row>
    <row r="45" spans="1:11" x14ac:dyDescent="0.25">
      <c r="A45" t="s">
        <v>52</v>
      </c>
      <c r="B45" s="8">
        <v>45682</v>
      </c>
      <c r="C45" t="s">
        <v>212</v>
      </c>
      <c r="D45" t="s">
        <v>219</v>
      </c>
      <c r="E45" t="s">
        <v>224</v>
      </c>
      <c r="F45">
        <v>4</v>
      </c>
      <c r="G45">
        <v>800</v>
      </c>
      <c r="H45">
        <v>500</v>
      </c>
      <c r="I45" t="s">
        <v>227</v>
      </c>
      <c r="J45">
        <f t="shared" si="2"/>
        <v>3200</v>
      </c>
      <c r="K45">
        <f t="shared" si="3"/>
        <v>1200</v>
      </c>
    </row>
    <row r="46" spans="1:11" x14ac:dyDescent="0.25">
      <c r="A46" t="s">
        <v>53</v>
      </c>
      <c r="B46" s="8">
        <v>45751</v>
      </c>
      <c r="C46" t="s">
        <v>211</v>
      </c>
      <c r="D46" t="s">
        <v>220</v>
      </c>
      <c r="E46" t="s">
        <v>223</v>
      </c>
      <c r="F46">
        <v>4</v>
      </c>
      <c r="G46">
        <v>500</v>
      </c>
      <c r="H46">
        <v>300</v>
      </c>
      <c r="I46" t="s">
        <v>226</v>
      </c>
      <c r="J46">
        <f t="shared" si="2"/>
        <v>2000</v>
      </c>
      <c r="K46">
        <f t="shared" si="3"/>
        <v>800</v>
      </c>
    </row>
    <row r="47" spans="1:11" x14ac:dyDescent="0.25">
      <c r="A47" t="s">
        <v>54</v>
      </c>
      <c r="B47" s="8">
        <v>45728</v>
      </c>
      <c r="C47" t="s">
        <v>214</v>
      </c>
      <c r="D47" t="s">
        <v>221</v>
      </c>
      <c r="E47" t="s">
        <v>224</v>
      </c>
      <c r="F47">
        <v>2</v>
      </c>
      <c r="G47">
        <v>3000</v>
      </c>
      <c r="H47">
        <v>2000</v>
      </c>
      <c r="I47" t="s">
        <v>226</v>
      </c>
      <c r="J47">
        <f t="shared" si="2"/>
        <v>6000</v>
      </c>
      <c r="K47">
        <f t="shared" si="3"/>
        <v>2000</v>
      </c>
    </row>
    <row r="48" spans="1:11" x14ac:dyDescent="0.25">
      <c r="A48" t="s">
        <v>55</v>
      </c>
      <c r="B48" s="8">
        <v>45861</v>
      </c>
      <c r="C48" t="s">
        <v>215</v>
      </c>
      <c r="D48" t="s">
        <v>220</v>
      </c>
      <c r="E48" t="s">
        <v>224</v>
      </c>
      <c r="F48">
        <v>4</v>
      </c>
      <c r="G48">
        <v>300</v>
      </c>
      <c r="H48">
        <v>150</v>
      </c>
      <c r="I48" t="s">
        <v>226</v>
      </c>
      <c r="J48">
        <f t="shared" si="2"/>
        <v>1200</v>
      </c>
      <c r="K48">
        <f t="shared" si="3"/>
        <v>600</v>
      </c>
    </row>
    <row r="49" spans="1:11" x14ac:dyDescent="0.25">
      <c r="A49" t="s">
        <v>56</v>
      </c>
      <c r="B49" s="8">
        <v>45839</v>
      </c>
      <c r="C49" t="s">
        <v>217</v>
      </c>
      <c r="D49" t="s">
        <v>221</v>
      </c>
      <c r="E49" t="s">
        <v>225</v>
      </c>
      <c r="F49">
        <v>10</v>
      </c>
      <c r="G49">
        <v>700</v>
      </c>
      <c r="H49">
        <v>400</v>
      </c>
      <c r="I49" t="s">
        <v>226</v>
      </c>
      <c r="J49">
        <f t="shared" si="2"/>
        <v>7000</v>
      </c>
      <c r="K49">
        <f t="shared" si="3"/>
        <v>3000</v>
      </c>
    </row>
    <row r="50" spans="1:11" x14ac:dyDescent="0.25">
      <c r="A50" t="s">
        <v>57</v>
      </c>
      <c r="B50" s="8">
        <v>45799</v>
      </c>
      <c r="C50" t="s">
        <v>215</v>
      </c>
      <c r="D50" t="s">
        <v>220</v>
      </c>
      <c r="E50" t="s">
        <v>224</v>
      </c>
      <c r="F50">
        <v>7</v>
      </c>
      <c r="G50">
        <v>300</v>
      </c>
      <c r="H50">
        <v>150</v>
      </c>
      <c r="I50" t="s">
        <v>227</v>
      </c>
      <c r="J50">
        <f t="shared" si="2"/>
        <v>2100</v>
      </c>
      <c r="K50">
        <f t="shared" si="3"/>
        <v>1050</v>
      </c>
    </row>
    <row r="51" spans="1:11" x14ac:dyDescent="0.25">
      <c r="A51" t="s">
        <v>58</v>
      </c>
      <c r="B51" s="8">
        <v>45748</v>
      </c>
      <c r="C51" t="s">
        <v>216</v>
      </c>
      <c r="D51" t="s">
        <v>221</v>
      </c>
      <c r="E51" t="s">
        <v>225</v>
      </c>
      <c r="F51">
        <v>6</v>
      </c>
      <c r="G51">
        <v>1000</v>
      </c>
      <c r="H51">
        <v>600</v>
      </c>
      <c r="I51" t="s">
        <v>226</v>
      </c>
      <c r="J51">
        <f t="shared" si="2"/>
        <v>6000</v>
      </c>
      <c r="K51">
        <f t="shared" si="3"/>
        <v>2400</v>
      </c>
    </row>
    <row r="52" spans="1:11" x14ac:dyDescent="0.25">
      <c r="A52" t="s">
        <v>59</v>
      </c>
      <c r="B52" s="8">
        <v>45769</v>
      </c>
      <c r="C52" t="s">
        <v>211</v>
      </c>
      <c r="D52" t="s">
        <v>220</v>
      </c>
      <c r="E52" t="s">
        <v>223</v>
      </c>
      <c r="F52">
        <v>2</v>
      </c>
      <c r="G52">
        <v>500</v>
      </c>
      <c r="H52">
        <v>300</v>
      </c>
      <c r="I52" t="s">
        <v>226</v>
      </c>
      <c r="J52">
        <f t="shared" si="2"/>
        <v>1000</v>
      </c>
      <c r="K52">
        <f t="shared" si="3"/>
        <v>400</v>
      </c>
    </row>
    <row r="53" spans="1:11" x14ac:dyDescent="0.25">
      <c r="A53" t="s">
        <v>60</v>
      </c>
      <c r="B53" s="8">
        <v>45847</v>
      </c>
      <c r="C53" t="s">
        <v>214</v>
      </c>
      <c r="D53" t="s">
        <v>221</v>
      </c>
      <c r="E53" t="s">
        <v>224</v>
      </c>
      <c r="F53">
        <v>2</v>
      </c>
      <c r="G53">
        <v>3000</v>
      </c>
      <c r="H53">
        <v>2000</v>
      </c>
      <c r="I53" t="s">
        <v>226</v>
      </c>
      <c r="J53">
        <f t="shared" si="2"/>
        <v>6000</v>
      </c>
      <c r="K53">
        <f t="shared" si="3"/>
        <v>2000</v>
      </c>
    </row>
    <row r="54" spans="1:11" x14ac:dyDescent="0.25">
      <c r="A54" t="s">
        <v>61</v>
      </c>
      <c r="B54" s="8">
        <v>45709</v>
      </c>
      <c r="C54" t="s">
        <v>212</v>
      </c>
      <c r="D54" t="s">
        <v>219</v>
      </c>
      <c r="E54" t="s">
        <v>224</v>
      </c>
      <c r="F54">
        <v>8</v>
      </c>
      <c r="G54">
        <v>800</v>
      </c>
      <c r="H54">
        <v>500</v>
      </c>
      <c r="I54" t="s">
        <v>226</v>
      </c>
      <c r="J54">
        <f t="shared" si="2"/>
        <v>6400</v>
      </c>
      <c r="K54">
        <f t="shared" si="3"/>
        <v>2400</v>
      </c>
    </row>
    <row r="55" spans="1:11" x14ac:dyDescent="0.25">
      <c r="A55" t="s">
        <v>62</v>
      </c>
      <c r="B55" s="8">
        <v>45715</v>
      </c>
      <c r="C55" t="s">
        <v>213</v>
      </c>
      <c r="D55" t="s">
        <v>221</v>
      </c>
      <c r="E55" t="s">
        <v>224</v>
      </c>
      <c r="F55">
        <v>8</v>
      </c>
      <c r="G55">
        <v>1200</v>
      </c>
      <c r="H55">
        <v>800</v>
      </c>
      <c r="I55" t="s">
        <v>226</v>
      </c>
      <c r="J55">
        <f t="shared" si="2"/>
        <v>9600</v>
      </c>
      <c r="K55">
        <f t="shared" si="3"/>
        <v>3200</v>
      </c>
    </row>
    <row r="56" spans="1:11" x14ac:dyDescent="0.25">
      <c r="A56" t="s">
        <v>63</v>
      </c>
      <c r="B56" s="8">
        <v>45774</v>
      </c>
      <c r="C56" t="s">
        <v>209</v>
      </c>
      <c r="D56" t="s">
        <v>219</v>
      </c>
      <c r="E56" t="s">
        <v>223</v>
      </c>
      <c r="F56">
        <v>8</v>
      </c>
      <c r="G56">
        <v>2000</v>
      </c>
      <c r="H56">
        <v>1400</v>
      </c>
      <c r="I56" t="s">
        <v>227</v>
      </c>
      <c r="J56">
        <f t="shared" si="2"/>
        <v>16000</v>
      </c>
      <c r="K56">
        <f t="shared" si="3"/>
        <v>4800</v>
      </c>
    </row>
    <row r="57" spans="1:11" x14ac:dyDescent="0.25">
      <c r="A57" t="s">
        <v>64</v>
      </c>
      <c r="B57" s="8">
        <v>45837</v>
      </c>
      <c r="C57" t="s">
        <v>212</v>
      </c>
      <c r="D57" t="s">
        <v>219</v>
      </c>
      <c r="E57" t="s">
        <v>223</v>
      </c>
      <c r="F57">
        <v>1</v>
      </c>
      <c r="G57">
        <v>800</v>
      </c>
      <c r="H57">
        <v>500</v>
      </c>
      <c r="I57" t="s">
        <v>226</v>
      </c>
      <c r="J57">
        <f t="shared" si="2"/>
        <v>800</v>
      </c>
      <c r="K57">
        <f t="shared" si="3"/>
        <v>300</v>
      </c>
    </row>
    <row r="58" spans="1:11" x14ac:dyDescent="0.25">
      <c r="A58" t="s">
        <v>65</v>
      </c>
      <c r="B58" s="8">
        <v>45693</v>
      </c>
      <c r="C58" t="s">
        <v>218</v>
      </c>
      <c r="D58" t="s">
        <v>220</v>
      </c>
      <c r="E58" t="s">
        <v>225</v>
      </c>
      <c r="F58">
        <v>3</v>
      </c>
      <c r="G58">
        <v>2500</v>
      </c>
      <c r="H58">
        <v>1800</v>
      </c>
      <c r="I58" t="s">
        <v>226</v>
      </c>
      <c r="J58">
        <f t="shared" si="2"/>
        <v>7500</v>
      </c>
      <c r="K58">
        <f t="shared" si="3"/>
        <v>2100</v>
      </c>
    </row>
    <row r="59" spans="1:11" x14ac:dyDescent="0.25">
      <c r="A59" t="s">
        <v>66</v>
      </c>
      <c r="B59" s="8">
        <v>45864</v>
      </c>
      <c r="C59" t="s">
        <v>218</v>
      </c>
      <c r="D59" t="s">
        <v>220</v>
      </c>
      <c r="E59" t="s">
        <v>223</v>
      </c>
      <c r="F59">
        <v>7</v>
      </c>
      <c r="G59">
        <v>2500</v>
      </c>
      <c r="H59">
        <v>1800</v>
      </c>
      <c r="I59" t="s">
        <v>226</v>
      </c>
      <c r="J59">
        <f t="shared" si="2"/>
        <v>17500</v>
      </c>
      <c r="K59">
        <f t="shared" si="3"/>
        <v>4900</v>
      </c>
    </row>
    <row r="60" spans="1:11" x14ac:dyDescent="0.25">
      <c r="A60" t="s">
        <v>67</v>
      </c>
      <c r="B60" s="8">
        <v>45724</v>
      </c>
      <c r="C60" t="s">
        <v>211</v>
      </c>
      <c r="D60" t="s">
        <v>220</v>
      </c>
      <c r="E60" t="s">
        <v>222</v>
      </c>
      <c r="F60">
        <v>7</v>
      </c>
      <c r="G60">
        <v>500</v>
      </c>
      <c r="H60">
        <v>300</v>
      </c>
      <c r="I60" t="s">
        <v>226</v>
      </c>
      <c r="J60">
        <f t="shared" si="2"/>
        <v>3500</v>
      </c>
      <c r="K60">
        <f t="shared" si="3"/>
        <v>1400</v>
      </c>
    </row>
    <row r="61" spans="1:11" x14ac:dyDescent="0.25">
      <c r="A61" t="s">
        <v>68</v>
      </c>
      <c r="B61" s="8">
        <v>45798</v>
      </c>
      <c r="C61" t="s">
        <v>215</v>
      </c>
      <c r="D61" t="s">
        <v>220</v>
      </c>
      <c r="E61" t="s">
        <v>225</v>
      </c>
      <c r="F61">
        <v>5</v>
      </c>
      <c r="G61">
        <v>300</v>
      </c>
      <c r="H61">
        <v>150</v>
      </c>
      <c r="I61" t="s">
        <v>226</v>
      </c>
      <c r="J61">
        <f t="shared" si="2"/>
        <v>1500</v>
      </c>
      <c r="K61">
        <f t="shared" si="3"/>
        <v>750</v>
      </c>
    </row>
    <row r="62" spans="1:11" x14ac:dyDescent="0.25">
      <c r="A62" t="s">
        <v>69</v>
      </c>
      <c r="B62" s="8">
        <v>45832</v>
      </c>
      <c r="C62" t="s">
        <v>212</v>
      </c>
      <c r="D62" t="s">
        <v>219</v>
      </c>
      <c r="E62" t="s">
        <v>224</v>
      </c>
      <c r="F62">
        <v>8</v>
      </c>
      <c r="G62">
        <v>800</v>
      </c>
      <c r="H62">
        <v>500</v>
      </c>
      <c r="I62" t="s">
        <v>226</v>
      </c>
      <c r="J62">
        <f t="shared" si="2"/>
        <v>6400</v>
      </c>
      <c r="K62">
        <f t="shared" si="3"/>
        <v>2400</v>
      </c>
    </row>
    <row r="63" spans="1:11" x14ac:dyDescent="0.25">
      <c r="A63" t="s">
        <v>70</v>
      </c>
      <c r="B63" s="8">
        <v>45827</v>
      </c>
      <c r="C63" t="s">
        <v>218</v>
      </c>
      <c r="D63" t="s">
        <v>220</v>
      </c>
      <c r="E63" t="s">
        <v>223</v>
      </c>
      <c r="F63">
        <v>1</v>
      </c>
      <c r="G63">
        <v>2500</v>
      </c>
      <c r="H63">
        <v>1800</v>
      </c>
      <c r="I63" t="s">
        <v>226</v>
      </c>
      <c r="J63">
        <f t="shared" si="2"/>
        <v>2500</v>
      </c>
      <c r="K63">
        <f t="shared" si="3"/>
        <v>700</v>
      </c>
    </row>
    <row r="64" spans="1:11" x14ac:dyDescent="0.25">
      <c r="A64" t="s">
        <v>71</v>
      </c>
      <c r="B64" s="8">
        <v>45760</v>
      </c>
      <c r="C64" t="s">
        <v>211</v>
      </c>
      <c r="D64" t="s">
        <v>220</v>
      </c>
      <c r="E64" t="s">
        <v>225</v>
      </c>
      <c r="F64">
        <v>1</v>
      </c>
      <c r="G64">
        <v>500</v>
      </c>
      <c r="H64">
        <v>300</v>
      </c>
      <c r="I64" t="s">
        <v>226</v>
      </c>
      <c r="J64">
        <f t="shared" si="2"/>
        <v>500</v>
      </c>
      <c r="K64">
        <f t="shared" si="3"/>
        <v>200</v>
      </c>
    </row>
    <row r="65" spans="1:11" x14ac:dyDescent="0.25">
      <c r="A65" t="s">
        <v>72</v>
      </c>
      <c r="B65" s="8">
        <v>45732</v>
      </c>
      <c r="C65" t="s">
        <v>212</v>
      </c>
      <c r="D65" t="s">
        <v>219</v>
      </c>
      <c r="E65" t="s">
        <v>223</v>
      </c>
      <c r="F65">
        <v>3</v>
      </c>
      <c r="G65">
        <v>800</v>
      </c>
      <c r="H65">
        <v>500</v>
      </c>
      <c r="I65" t="s">
        <v>226</v>
      </c>
      <c r="J65">
        <f t="shared" si="2"/>
        <v>2400</v>
      </c>
      <c r="K65">
        <f t="shared" si="3"/>
        <v>900</v>
      </c>
    </row>
    <row r="66" spans="1:11" x14ac:dyDescent="0.25">
      <c r="A66" t="s">
        <v>73</v>
      </c>
      <c r="B66" s="8">
        <v>45720</v>
      </c>
      <c r="C66" t="s">
        <v>209</v>
      </c>
      <c r="D66" t="s">
        <v>219</v>
      </c>
      <c r="E66" t="s">
        <v>223</v>
      </c>
      <c r="F66">
        <v>3</v>
      </c>
      <c r="G66">
        <v>2000</v>
      </c>
      <c r="H66">
        <v>1400</v>
      </c>
      <c r="I66" t="s">
        <v>226</v>
      </c>
      <c r="J66">
        <f t="shared" ref="J66:J97" si="4">F66*G66</f>
        <v>6000</v>
      </c>
      <c r="K66">
        <f t="shared" ref="K66:K97" si="5">F66*(G66-H66)</f>
        <v>1800</v>
      </c>
    </row>
    <row r="67" spans="1:11" x14ac:dyDescent="0.25">
      <c r="A67" t="s">
        <v>74</v>
      </c>
      <c r="B67" s="8">
        <v>45682</v>
      </c>
      <c r="C67" t="s">
        <v>218</v>
      </c>
      <c r="D67" t="s">
        <v>220</v>
      </c>
      <c r="E67" t="s">
        <v>223</v>
      </c>
      <c r="F67">
        <v>7</v>
      </c>
      <c r="G67">
        <v>2500</v>
      </c>
      <c r="H67">
        <v>1800</v>
      </c>
      <c r="I67" t="s">
        <v>226</v>
      </c>
      <c r="J67">
        <f t="shared" si="4"/>
        <v>17500</v>
      </c>
      <c r="K67">
        <f t="shared" si="5"/>
        <v>4900</v>
      </c>
    </row>
    <row r="68" spans="1:11" x14ac:dyDescent="0.25">
      <c r="A68" t="s">
        <v>75</v>
      </c>
      <c r="B68" s="8">
        <v>45797</v>
      </c>
      <c r="C68" t="s">
        <v>217</v>
      </c>
      <c r="D68" t="s">
        <v>221</v>
      </c>
      <c r="E68" t="s">
        <v>223</v>
      </c>
      <c r="F68">
        <v>4</v>
      </c>
      <c r="G68">
        <v>700</v>
      </c>
      <c r="H68">
        <v>400</v>
      </c>
      <c r="I68" t="s">
        <v>226</v>
      </c>
      <c r="J68">
        <f t="shared" si="4"/>
        <v>2800</v>
      </c>
      <c r="K68">
        <f t="shared" si="5"/>
        <v>1200</v>
      </c>
    </row>
    <row r="69" spans="1:11" x14ac:dyDescent="0.25">
      <c r="A69" t="s">
        <v>76</v>
      </c>
      <c r="B69" s="8">
        <v>45694</v>
      </c>
      <c r="C69" t="s">
        <v>216</v>
      </c>
      <c r="D69" t="s">
        <v>221</v>
      </c>
      <c r="E69" t="s">
        <v>222</v>
      </c>
      <c r="F69">
        <v>10</v>
      </c>
      <c r="G69">
        <v>1000</v>
      </c>
      <c r="H69">
        <v>600</v>
      </c>
      <c r="I69" t="s">
        <v>226</v>
      </c>
      <c r="J69">
        <f t="shared" si="4"/>
        <v>10000</v>
      </c>
      <c r="K69">
        <f t="shared" si="5"/>
        <v>4000</v>
      </c>
    </row>
    <row r="70" spans="1:11" x14ac:dyDescent="0.25">
      <c r="A70" t="s">
        <v>77</v>
      </c>
      <c r="B70" s="8">
        <v>45752</v>
      </c>
      <c r="C70" t="s">
        <v>218</v>
      </c>
      <c r="D70" t="s">
        <v>220</v>
      </c>
      <c r="E70" t="s">
        <v>224</v>
      </c>
      <c r="F70">
        <v>6</v>
      </c>
      <c r="G70">
        <v>2500</v>
      </c>
      <c r="H70">
        <v>1800</v>
      </c>
      <c r="I70" t="s">
        <v>226</v>
      </c>
      <c r="J70">
        <f t="shared" si="4"/>
        <v>15000</v>
      </c>
      <c r="K70">
        <f t="shared" si="5"/>
        <v>4200</v>
      </c>
    </row>
    <row r="71" spans="1:11" x14ac:dyDescent="0.25">
      <c r="A71" t="s">
        <v>78</v>
      </c>
      <c r="B71" s="8">
        <v>45762</v>
      </c>
      <c r="C71" t="s">
        <v>210</v>
      </c>
      <c r="D71" t="s">
        <v>220</v>
      </c>
      <c r="E71" t="s">
        <v>225</v>
      </c>
      <c r="F71">
        <v>5</v>
      </c>
      <c r="G71">
        <v>1500</v>
      </c>
      <c r="H71">
        <v>900</v>
      </c>
      <c r="I71" t="s">
        <v>226</v>
      </c>
      <c r="J71">
        <f t="shared" si="4"/>
        <v>7500</v>
      </c>
      <c r="K71">
        <f t="shared" si="5"/>
        <v>3000</v>
      </c>
    </row>
    <row r="72" spans="1:11" x14ac:dyDescent="0.25">
      <c r="A72" t="s">
        <v>79</v>
      </c>
      <c r="B72" s="8">
        <v>45696</v>
      </c>
      <c r="C72" t="s">
        <v>209</v>
      </c>
      <c r="D72" t="s">
        <v>219</v>
      </c>
      <c r="E72" t="s">
        <v>225</v>
      </c>
      <c r="F72">
        <v>1</v>
      </c>
      <c r="G72">
        <v>2000</v>
      </c>
      <c r="H72">
        <v>1400</v>
      </c>
      <c r="I72" t="s">
        <v>226</v>
      </c>
      <c r="J72">
        <f t="shared" si="4"/>
        <v>2000</v>
      </c>
      <c r="K72">
        <f t="shared" si="5"/>
        <v>600</v>
      </c>
    </row>
    <row r="73" spans="1:11" x14ac:dyDescent="0.25">
      <c r="A73" t="s">
        <v>80</v>
      </c>
      <c r="B73" s="8">
        <v>45834</v>
      </c>
      <c r="C73" t="s">
        <v>217</v>
      </c>
      <c r="D73" t="s">
        <v>221</v>
      </c>
      <c r="E73" t="s">
        <v>223</v>
      </c>
      <c r="F73">
        <v>2</v>
      </c>
      <c r="G73">
        <v>700</v>
      </c>
      <c r="H73">
        <v>400</v>
      </c>
      <c r="I73" t="s">
        <v>226</v>
      </c>
      <c r="J73">
        <f t="shared" si="4"/>
        <v>1400</v>
      </c>
      <c r="K73">
        <f t="shared" si="5"/>
        <v>600</v>
      </c>
    </row>
    <row r="74" spans="1:11" x14ac:dyDescent="0.25">
      <c r="A74" t="s">
        <v>81</v>
      </c>
      <c r="B74" s="8">
        <v>45686</v>
      </c>
      <c r="C74" t="s">
        <v>212</v>
      </c>
      <c r="D74" t="s">
        <v>219</v>
      </c>
      <c r="E74" t="s">
        <v>224</v>
      </c>
      <c r="F74">
        <v>5</v>
      </c>
      <c r="G74">
        <v>800</v>
      </c>
      <c r="H74">
        <v>500</v>
      </c>
      <c r="I74" t="s">
        <v>226</v>
      </c>
      <c r="J74">
        <f t="shared" si="4"/>
        <v>4000</v>
      </c>
      <c r="K74">
        <f t="shared" si="5"/>
        <v>1500</v>
      </c>
    </row>
    <row r="75" spans="1:11" x14ac:dyDescent="0.25">
      <c r="A75" t="s">
        <v>82</v>
      </c>
      <c r="B75" s="8">
        <v>45790</v>
      </c>
      <c r="C75" t="s">
        <v>209</v>
      </c>
      <c r="D75" t="s">
        <v>219</v>
      </c>
      <c r="E75" t="s">
        <v>222</v>
      </c>
      <c r="F75">
        <v>4</v>
      </c>
      <c r="G75">
        <v>2000</v>
      </c>
      <c r="H75">
        <v>1400</v>
      </c>
      <c r="I75" t="s">
        <v>226</v>
      </c>
      <c r="J75">
        <f t="shared" si="4"/>
        <v>8000</v>
      </c>
      <c r="K75">
        <f t="shared" si="5"/>
        <v>2400</v>
      </c>
    </row>
    <row r="76" spans="1:11" x14ac:dyDescent="0.25">
      <c r="A76" t="s">
        <v>83</v>
      </c>
      <c r="B76" s="8">
        <v>45805</v>
      </c>
      <c r="C76" t="s">
        <v>215</v>
      </c>
      <c r="D76" t="s">
        <v>220</v>
      </c>
      <c r="E76" t="s">
        <v>222</v>
      </c>
      <c r="F76">
        <v>9</v>
      </c>
      <c r="G76">
        <v>300</v>
      </c>
      <c r="H76">
        <v>150</v>
      </c>
      <c r="I76" t="s">
        <v>226</v>
      </c>
      <c r="J76">
        <f t="shared" si="4"/>
        <v>2700</v>
      </c>
      <c r="K76">
        <f t="shared" si="5"/>
        <v>1350</v>
      </c>
    </row>
    <row r="77" spans="1:11" x14ac:dyDescent="0.25">
      <c r="A77" t="s">
        <v>84</v>
      </c>
      <c r="B77" s="8">
        <v>45819</v>
      </c>
      <c r="C77" t="s">
        <v>212</v>
      </c>
      <c r="D77" t="s">
        <v>219</v>
      </c>
      <c r="E77" t="s">
        <v>222</v>
      </c>
      <c r="F77">
        <v>1</v>
      </c>
      <c r="G77">
        <v>800</v>
      </c>
      <c r="H77">
        <v>500</v>
      </c>
      <c r="I77" t="s">
        <v>226</v>
      </c>
      <c r="J77">
        <f t="shared" si="4"/>
        <v>800</v>
      </c>
      <c r="K77">
        <f t="shared" si="5"/>
        <v>300</v>
      </c>
    </row>
    <row r="78" spans="1:11" x14ac:dyDescent="0.25">
      <c r="A78" t="s">
        <v>85</v>
      </c>
      <c r="B78" s="8">
        <v>45695</v>
      </c>
      <c r="C78" t="s">
        <v>209</v>
      </c>
      <c r="D78" t="s">
        <v>219</v>
      </c>
      <c r="E78" t="s">
        <v>222</v>
      </c>
      <c r="F78">
        <v>3</v>
      </c>
      <c r="G78">
        <v>2000</v>
      </c>
      <c r="H78">
        <v>1400</v>
      </c>
      <c r="I78" t="s">
        <v>226</v>
      </c>
      <c r="J78">
        <f t="shared" si="4"/>
        <v>6000</v>
      </c>
      <c r="K78">
        <f t="shared" si="5"/>
        <v>1800</v>
      </c>
    </row>
    <row r="79" spans="1:11" x14ac:dyDescent="0.25">
      <c r="A79" t="s">
        <v>86</v>
      </c>
      <c r="B79" s="8">
        <v>45815</v>
      </c>
      <c r="C79" t="s">
        <v>209</v>
      </c>
      <c r="D79" t="s">
        <v>219</v>
      </c>
      <c r="E79" t="s">
        <v>224</v>
      </c>
      <c r="F79">
        <v>9</v>
      </c>
      <c r="G79">
        <v>2000</v>
      </c>
      <c r="H79">
        <v>1400</v>
      </c>
      <c r="I79" t="s">
        <v>226</v>
      </c>
      <c r="J79">
        <f t="shared" si="4"/>
        <v>18000</v>
      </c>
      <c r="K79">
        <f t="shared" si="5"/>
        <v>5400</v>
      </c>
    </row>
    <row r="80" spans="1:11" x14ac:dyDescent="0.25">
      <c r="A80" t="s">
        <v>87</v>
      </c>
      <c r="B80" s="8">
        <v>45818</v>
      </c>
      <c r="C80" t="s">
        <v>217</v>
      </c>
      <c r="D80" t="s">
        <v>221</v>
      </c>
      <c r="E80" t="s">
        <v>222</v>
      </c>
      <c r="F80">
        <v>4</v>
      </c>
      <c r="G80">
        <v>700</v>
      </c>
      <c r="H80">
        <v>400</v>
      </c>
      <c r="I80" t="s">
        <v>226</v>
      </c>
      <c r="J80">
        <f t="shared" si="4"/>
        <v>2800</v>
      </c>
      <c r="K80">
        <f t="shared" si="5"/>
        <v>1200</v>
      </c>
    </row>
    <row r="81" spans="1:11" x14ac:dyDescent="0.25">
      <c r="A81" t="s">
        <v>88</v>
      </c>
      <c r="B81" s="8">
        <v>45736</v>
      </c>
      <c r="C81" t="s">
        <v>213</v>
      </c>
      <c r="D81" t="s">
        <v>221</v>
      </c>
      <c r="E81" t="s">
        <v>225</v>
      </c>
      <c r="F81">
        <v>9</v>
      </c>
      <c r="G81">
        <v>1200</v>
      </c>
      <c r="H81">
        <v>800</v>
      </c>
      <c r="I81" t="s">
        <v>226</v>
      </c>
      <c r="J81">
        <f t="shared" si="4"/>
        <v>10800</v>
      </c>
      <c r="K81">
        <f t="shared" si="5"/>
        <v>3600</v>
      </c>
    </row>
    <row r="82" spans="1:11" x14ac:dyDescent="0.25">
      <c r="A82" t="s">
        <v>89</v>
      </c>
      <c r="B82" s="8">
        <v>45858</v>
      </c>
      <c r="C82" t="s">
        <v>211</v>
      </c>
      <c r="D82" t="s">
        <v>220</v>
      </c>
      <c r="E82" t="s">
        <v>225</v>
      </c>
      <c r="F82">
        <v>2</v>
      </c>
      <c r="G82">
        <v>500</v>
      </c>
      <c r="H82">
        <v>300</v>
      </c>
      <c r="I82" t="s">
        <v>226</v>
      </c>
      <c r="J82">
        <f t="shared" si="4"/>
        <v>1000</v>
      </c>
      <c r="K82">
        <f t="shared" si="5"/>
        <v>400</v>
      </c>
    </row>
    <row r="83" spans="1:11" x14ac:dyDescent="0.25">
      <c r="A83" t="s">
        <v>90</v>
      </c>
      <c r="B83" s="8">
        <v>45795</v>
      </c>
      <c r="C83" t="s">
        <v>211</v>
      </c>
      <c r="D83" t="s">
        <v>220</v>
      </c>
      <c r="E83" t="s">
        <v>222</v>
      </c>
      <c r="F83">
        <v>1</v>
      </c>
      <c r="G83">
        <v>500</v>
      </c>
      <c r="H83">
        <v>300</v>
      </c>
      <c r="I83" t="s">
        <v>226</v>
      </c>
      <c r="J83">
        <f t="shared" si="4"/>
        <v>500</v>
      </c>
      <c r="K83">
        <f t="shared" si="5"/>
        <v>200</v>
      </c>
    </row>
    <row r="84" spans="1:11" x14ac:dyDescent="0.25">
      <c r="A84" t="s">
        <v>91</v>
      </c>
      <c r="B84" s="8">
        <v>45702</v>
      </c>
      <c r="C84" t="s">
        <v>213</v>
      </c>
      <c r="D84" t="s">
        <v>221</v>
      </c>
      <c r="E84" t="s">
        <v>225</v>
      </c>
      <c r="F84">
        <v>3</v>
      </c>
      <c r="G84">
        <v>1200</v>
      </c>
      <c r="H84">
        <v>800</v>
      </c>
      <c r="I84" t="s">
        <v>226</v>
      </c>
      <c r="J84">
        <f t="shared" si="4"/>
        <v>3600</v>
      </c>
      <c r="K84">
        <f t="shared" si="5"/>
        <v>1200</v>
      </c>
    </row>
    <row r="85" spans="1:11" x14ac:dyDescent="0.25">
      <c r="A85" t="s">
        <v>92</v>
      </c>
      <c r="B85" s="8">
        <v>45777</v>
      </c>
      <c r="C85" t="s">
        <v>216</v>
      </c>
      <c r="D85" t="s">
        <v>221</v>
      </c>
      <c r="E85" t="s">
        <v>223</v>
      </c>
      <c r="F85">
        <v>9</v>
      </c>
      <c r="G85">
        <v>1000</v>
      </c>
      <c r="H85">
        <v>600</v>
      </c>
      <c r="I85" t="s">
        <v>226</v>
      </c>
      <c r="J85">
        <f t="shared" si="4"/>
        <v>9000</v>
      </c>
      <c r="K85">
        <f t="shared" si="5"/>
        <v>3600</v>
      </c>
    </row>
    <row r="86" spans="1:11" x14ac:dyDescent="0.25">
      <c r="A86" t="s">
        <v>93</v>
      </c>
      <c r="B86" s="8">
        <v>45720</v>
      </c>
      <c r="C86" t="s">
        <v>210</v>
      </c>
      <c r="D86" t="s">
        <v>220</v>
      </c>
      <c r="E86" t="s">
        <v>223</v>
      </c>
      <c r="F86">
        <v>9</v>
      </c>
      <c r="G86">
        <v>1500</v>
      </c>
      <c r="H86">
        <v>900</v>
      </c>
      <c r="I86" t="s">
        <v>226</v>
      </c>
      <c r="J86">
        <f t="shared" si="4"/>
        <v>13500</v>
      </c>
      <c r="K86">
        <f t="shared" si="5"/>
        <v>5400</v>
      </c>
    </row>
    <row r="87" spans="1:11" x14ac:dyDescent="0.25">
      <c r="A87" t="s">
        <v>94</v>
      </c>
      <c r="B87" s="8">
        <v>45684</v>
      </c>
      <c r="C87" t="s">
        <v>217</v>
      </c>
      <c r="D87" t="s">
        <v>221</v>
      </c>
      <c r="E87" t="s">
        <v>224</v>
      </c>
      <c r="F87">
        <v>9</v>
      </c>
      <c r="G87">
        <v>700</v>
      </c>
      <c r="H87">
        <v>400</v>
      </c>
      <c r="I87" t="s">
        <v>226</v>
      </c>
      <c r="J87">
        <f t="shared" si="4"/>
        <v>6300</v>
      </c>
      <c r="K87">
        <f t="shared" si="5"/>
        <v>2700</v>
      </c>
    </row>
    <row r="88" spans="1:11" x14ac:dyDescent="0.25">
      <c r="A88" t="s">
        <v>95</v>
      </c>
      <c r="B88" s="8">
        <v>45746</v>
      </c>
      <c r="C88" t="s">
        <v>211</v>
      </c>
      <c r="D88" t="s">
        <v>220</v>
      </c>
      <c r="E88" t="s">
        <v>222</v>
      </c>
      <c r="F88">
        <v>5</v>
      </c>
      <c r="G88">
        <v>500</v>
      </c>
      <c r="H88">
        <v>300</v>
      </c>
      <c r="I88" t="s">
        <v>226</v>
      </c>
      <c r="J88">
        <f t="shared" si="4"/>
        <v>2500</v>
      </c>
      <c r="K88">
        <f t="shared" si="5"/>
        <v>1000</v>
      </c>
    </row>
    <row r="89" spans="1:11" x14ac:dyDescent="0.25">
      <c r="A89" t="s">
        <v>96</v>
      </c>
      <c r="B89" s="8">
        <v>45812</v>
      </c>
      <c r="C89" t="s">
        <v>211</v>
      </c>
      <c r="D89" t="s">
        <v>220</v>
      </c>
      <c r="E89" t="s">
        <v>224</v>
      </c>
      <c r="F89">
        <v>6</v>
      </c>
      <c r="G89">
        <v>500</v>
      </c>
      <c r="H89">
        <v>300</v>
      </c>
      <c r="I89" t="s">
        <v>226</v>
      </c>
      <c r="J89">
        <f t="shared" si="4"/>
        <v>3000</v>
      </c>
      <c r="K89">
        <f t="shared" si="5"/>
        <v>1200</v>
      </c>
    </row>
    <row r="90" spans="1:11" x14ac:dyDescent="0.25">
      <c r="A90" t="s">
        <v>97</v>
      </c>
      <c r="B90" s="8">
        <v>45832</v>
      </c>
      <c r="C90" t="s">
        <v>209</v>
      </c>
      <c r="D90" t="s">
        <v>219</v>
      </c>
      <c r="E90" t="s">
        <v>225</v>
      </c>
      <c r="F90">
        <v>6</v>
      </c>
      <c r="G90">
        <v>2000</v>
      </c>
      <c r="H90">
        <v>1400</v>
      </c>
      <c r="I90" t="s">
        <v>226</v>
      </c>
      <c r="J90">
        <f t="shared" si="4"/>
        <v>12000</v>
      </c>
      <c r="K90">
        <f t="shared" si="5"/>
        <v>3600</v>
      </c>
    </row>
    <row r="91" spans="1:11" x14ac:dyDescent="0.25">
      <c r="A91" t="s">
        <v>98</v>
      </c>
      <c r="B91" s="8">
        <v>45726</v>
      </c>
      <c r="C91" t="s">
        <v>210</v>
      </c>
      <c r="D91" t="s">
        <v>220</v>
      </c>
      <c r="E91" t="s">
        <v>224</v>
      </c>
      <c r="F91">
        <v>4</v>
      </c>
      <c r="G91">
        <v>1500</v>
      </c>
      <c r="H91">
        <v>900</v>
      </c>
      <c r="I91" t="s">
        <v>226</v>
      </c>
      <c r="J91">
        <f t="shared" si="4"/>
        <v>6000</v>
      </c>
      <c r="K91">
        <f t="shared" si="5"/>
        <v>2400</v>
      </c>
    </row>
    <row r="92" spans="1:11" x14ac:dyDescent="0.25">
      <c r="A92" t="s">
        <v>99</v>
      </c>
      <c r="B92" s="8">
        <v>45688</v>
      </c>
      <c r="C92" t="s">
        <v>210</v>
      </c>
      <c r="D92" t="s">
        <v>220</v>
      </c>
      <c r="E92" t="s">
        <v>223</v>
      </c>
      <c r="F92">
        <v>7</v>
      </c>
      <c r="G92">
        <v>1500</v>
      </c>
      <c r="H92">
        <v>900</v>
      </c>
      <c r="I92" t="s">
        <v>226</v>
      </c>
      <c r="J92">
        <f t="shared" si="4"/>
        <v>10500</v>
      </c>
      <c r="K92">
        <f t="shared" si="5"/>
        <v>4200</v>
      </c>
    </row>
    <row r="93" spans="1:11" x14ac:dyDescent="0.25">
      <c r="A93" t="s">
        <v>100</v>
      </c>
      <c r="B93" s="8">
        <v>45851</v>
      </c>
      <c r="C93" t="s">
        <v>214</v>
      </c>
      <c r="D93" t="s">
        <v>221</v>
      </c>
      <c r="E93" t="s">
        <v>224</v>
      </c>
      <c r="F93">
        <v>7</v>
      </c>
      <c r="G93">
        <v>3000</v>
      </c>
      <c r="H93">
        <v>2000</v>
      </c>
      <c r="I93" t="s">
        <v>226</v>
      </c>
      <c r="J93">
        <f t="shared" si="4"/>
        <v>21000</v>
      </c>
      <c r="K93">
        <f t="shared" si="5"/>
        <v>7000</v>
      </c>
    </row>
    <row r="94" spans="1:11" x14ac:dyDescent="0.25">
      <c r="A94" t="s">
        <v>101</v>
      </c>
      <c r="B94" s="8">
        <v>45832</v>
      </c>
      <c r="C94" t="s">
        <v>209</v>
      </c>
      <c r="D94" t="s">
        <v>219</v>
      </c>
      <c r="E94" t="s">
        <v>223</v>
      </c>
      <c r="F94">
        <v>7</v>
      </c>
      <c r="G94">
        <v>2000</v>
      </c>
      <c r="H94">
        <v>1400</v>
      </c>
      <c r="I94" t="s">
        <v>226</v>
      </c>
      <c r="J94">
        <f t="shared" si="4"/>
        <v>14000</v>
      </c>
      <c r="K94">
        <f t="shared" si="5"/>
        <v>4200</v>
      </c>
    </row>
    <row r="95" spans="1:11" x14ac:dyDescent="0.25">
      <c r="A95" t="s">
        <v>102</v>
      </c>
      <c r="B95" s="8">
        <v>45858</v>
      </c>
      <c r="C95" t="s">
        <v>218</v>
      </c>
      <c r="D95" t="s">
        <v>220</v>
      </c>
      <c r="E95" t="s">
        <v>225</v>
      </c>
      <c r="F95">
        <v>4</v>
      </c>
      <c r="G95">
        <v>2500</v>
      </c>
      <c r="H95">
        <v>1800</v>
      </c>
      <c r="I95" t="s">
        <v>226</v>
      </c>
      <c r="J95">
        <f t="shared" si="4"/>
        <v>10000</v>
      </c>
      <c r="K95">
        <f t="shared" si="5"/>
        <v>2800</v>
      </c>
    </row>
    <row r="96" spans="1:11" x14ac:dyDescent="0.25">
      <c r="A96" t="s">
        <v>103</v>
      </c>
      <c r="B96" s="8">
        <v>45849</v>
      </c>
      <c r="C96" t="s">
        <v>218</v>
      </c>
      <c r="D96" t="s">
        <v>220</v>
      </c>
      <c r="E96" t="s">
        <v>223</v>
      </c>
      <c r="F96">
        <v>4</v>
      </c>
      <c r="G96">
        <v>2500</v>
      </c>
      <c r="H96">
        <v>1800</v>
      </c>
      <c r="I96" t="s">
        <v>226</v>
      </c>
      <c r="J96">
        <f t="shared" si="4"/>
        <v>10000</v>
      </c>
      <c r="K96">
        <f t="shared" si="5"/>
        <v>2800</v>
      </c>
    </row>
    <row r="97" spans="1:11" x14ac:dyDescent="0.25">
      <c r="A97" t="s">
        <v>104</v>
      </c>
      <c r="B97" s="8">
        <v>45781</v>
      </c>
      <c r="C97" t="s">
        <v>216</v>
      </c>
      <c r="D97" t="s">
        <v>221</v>
      </c>
      <c r="E97" t="s">
        <v>222</v>
      </c>
      <c r="F97">
        <v>6</v>
      </c>
      <c r="G97">
        <v>1000</v>
      </c>
      <c r="H97">
        <v>600</v>
      </c>
      <c r="I97" t="s">
        <v>226</v>
      </c>
      <c r="J97">
        <f t="shared" si="4"/>
        <v>6000</v>
      </c>
      <c r="K97">
        <f t="shared" si="5"/>
        <v>2400</v>
      </c>
    </row>
    <row r="98" spans="1:11" x14ac:dyDescent="0.25">
      <c r="A98" t="s">
        <v>105</v>
      </c>
      <c r="B98" s="8">
        <v>45735</v>
      </c>
      <c r="C98" t="s">
        <v>213</v>
      </c>
      <c r="D98" t="s">
        <v>221</v>
      </c>
      <c r="E98" t="s">
        <v>225</v>
      </c>
      <c r="F98">
        <v>6</v>
      </c>
      <c r="G98">
        <v>1200</v>
      </c>
      <c r="H98">
        <v>800</v>
      </c>
      <c r="I98" t="s">
        <v>226</v>
      </c>
      <c r="J98">
        <f t="shared" ref="J98:J129" si="6">F98*G98</f>
        <v>7200</v>
      </c>
      <c r="K98">
        <f t="shared" ref="K98:K129" si="7">F98*(G98-H98)</f>
        <v>2400</v>
      </c>
    </row>
    <row r="99" spans="1:11" x14ac:dyDescent="0.25">
      <c r="A99" t="s">
        <v>106</v>
      </c>
      <c r="B99" s="8">
        <v>45682</v>
      </c>
      <c r="C99" t="s">
        <v>212</v>
      </c>
      <c r="D99" t="s">
        <v>219</v>
      </c>
      <c r="E99" t="s">
        <v>223</v>
      </c>
      <c r="F99">
        <v>6</v>
      </c>
      <c r="G99">
        <v>800</v>
      </c>
      <c r="H99">
        <v>500</v>
      </c>
      <c r="I99" t="s">
        <v>226</v>
      </c>
      <c r="J99">
        <f t="shared" si="6"/>
        <v>4800</v>
      </c>
      <c r="K99">
        <f t="shared" si="7"/>
        <v>1800</v>
      </c>
    </row>
    <row r="100" spans="1:11" x14ac:dyDescent="0.25">
      <c r="A100" t="s">
        <v>107</v>
      </c>
      <c r="B100" s="8">
        <v>45858</v>
      </c>
      <c r="C100" t="s">
        <v>213</v>
      </c>
      <c r="D100" t="s">
        <v>221</v>
      </c>
      <c r="E100" t="s">
        <v>222</v>
      </c>
      <c r="F100">
        <v>3</v>
      </c>
      <c r="G100">
        <v>1200</v>
      </c>
      <c r="H100">
        <v>800</v>
      </c>
      <c r="I100" t="s">
        <v>227</v>
      </c>
      <c r="J100">
        <f t="shared" si="6"/>
        <v>3600</v>
      </c>
      <c r="K100">
        <f t="shared" si="7"/>
        <v>1200</v>
      </c>
    </row>
    <row r="101" spans="1:11" x14ac:dyDescent="0.25">
      <c r="A101" t="s">
        <v>108</v>
      </c>
      <c r="B101" s="8">
        <v>45857</v>
      </c>
      <c r="C101" t="s">
        <v>217</v>
      </c>
      <c r="D101" t="s">
        <v>221</v>
      </c>
      <c r="E101" t="s">
        <v>222</v>
      </c>
      <c r="F101">
        <v>7</v>
      </c>
      <c r="G101">
        <v>700</v>
      </c>
      <c r="H101">
        <v>400</v>
      </c>
      <c r="I101" t="s">
        <v>226</v>
      </c>
      <c r="J101">
        <f t="shared" si="6"/>
        <v>4900</v>
      </c>
      <c r="K101">
        <f t="shared" si="7"/>
        <v>2100</v>
      </c>
    </row>
    <row r="102" spans="1:11" x14ac:dyDescent="0.25">
      <c r="A102" t="s">
        <v>109</v>
      </c>
      <c r="B102" s="8">
        <v>45752</v>
      </c>
      <c r="C102" t="s">
        <v>214</v>
      </c>
      <c r="D102" t="s">
        <v>221</v>
      </c>
      <c r="E102" t="s">
        <v>223</v>
      </c>
      <c r="F102">
        <v>7</v>
      </c>
      <c r="G102">
        <v>3000</v>
      </c>
      <c r="H102">
        <v>2000</v>
      </c>
      <c r="I102" t="s">
        <v>226</v>
      </c>
      <c r="J102">
        <f t="shared" si="6"/>
        <v>21000</v>
      </c>
      <c r="K102">
        <f t="shared" si="7"/>
        <v>7000</v>
      </c>
    </row>
    <row r="103" spans="1:11" x14ac:dyDescent="0.25">
      <c r="A103" t="s">
        <v>110</v>
      </c>
      <c r="B103" s="8">
        <v>45769</v>
      </c>
      <c r="C103" t="s">
        <v>217</v>
      </c>
      <c r="D103" t="s">
        <v>221</v>
      </c>
      <c r="E103" t="s">
        <v>222</v>
      </c>
      <c r="F103">
        <v>4</v>
      </c>
      <c r="G103">
        <v>700</v>
      </c>
      <c r="H103">
        <v>400</v>
      </c>
      <c r="I103" t="s">
        <v>227</v>
      </c>
      <c r="J103">
        <f t="shared" si="6"/>
        <v>2800</v>
      </c>
      <c r="K103">
        <f t="shared" si="7"/>
        <v>1200</v>
      </c>
    </row>
    <row r="104" spans="1:11" x14ac:dyDescent="0.25">
      <c r="A104" t="s">
        <v>111</v>
      </c>
      <c r="B104" s="8">
        <v>45716</v>
      </c>
      <c r="C104" t="s">
        <v>216</v>
      </c>
      <c r="D104" t="s">
        <v>221</v>
      </c>
      <c r="E104" t="s">
        <v>224</v>
      </c>
      <c r="F104">
        <v>1</v>
      </c>
      <c r="G104">
        <v>1000</v>
      </c>
      <c r="H104">
        <v>600</v>
      </c>
      <c r="I104" t="s">
        <v>226</v>
      </c>
      <c r="J104">
        <f t="shared" si="6"/>
        <v>1000</v>
      </c>
      <c r="K104">
        <f t="shared" si="7"/>
        <v>400</v>
      </c>
    </row>
    <row r="105" spans="1:11" x14ac:dyDescent="0.25">
      <c r="A105" t="s">
        <v>112</v>
      </c>
      <c r="B105" s="8">
        <v>45759</v>
      </c>
      <c r="C105" t="s">
        <v>209</v>
      </c>
      <c r="D105" t="s">
        <v>219</v>
      </c>
      <c r="E105" t="s">
        <v>222</v>
      </c>
      <c r="F105">
        <v>6</v>
      </c>
      <c r="G105">
        <v>2000</v>
      </c>
      <c r="H105">
        <v>1400</v>
      </c>
      <c r="I105" t="s">
        <v>226</v>
      </c>
      <c r="J105">
        <f t="shared" si="6"/>
        <v>12000</v>
      </c>
      <c r="K105">
        <f t="shared" si="7"/>
        <v>3600</v>
      </c>
    </row>
    <row r="106" spans="1:11" x14ac:dyDescent="0.25">
      <c r="A106" t="s">
        <v>113</v>
      </c>
      <c r="B106" s="8">
        <v>45808</v>
      </c>
      <c r="C106" t="s">
        <v>209</v>
      </c>
      <c r="D106" t="s">
        <v>219</v>
      </c>
      <c r="E106" t="s">
        <v>222</v>
      </c>
      <c r="F106">
        <v>5</v>
      </c>
      <c r="G106">
        <v>2000</v>
      </c>
      <c r="H106">
        <v>1400</v>
      </c>
      <c r="I106" t="s">
        <v>226</v>
      </c>
      <c r="J106">
        <f t="shared" si="6"/>
        <v>10000</v>
      </c>
      <c r="K106">
        <f t="shared" si="7"/>
        <v>3000</v>
      </c>
    </row>
    <row r="107" spans="1:11" x14ac:dyDescent="0.25">
      <c r="A107" t="s">
        <v>114</v>
      </c>
      <c r="B107" s="8">
        <v>45745</v>
      </c>
      <c r="C107" t="s">
        <v>214</v>
      </c>
      <c r="D107" t="s">
        <v>221</v>
      </c>
      <c r="E107" t="s">
        <v>222</v>
      </c>
      <c r="F107">
        <v>7</v>
      </c>
      <c r="G107">
        <v>3000</v>
      </c>
      <c r="H107">
        <v>2000</v>
      </c>
      <c r="I107" t="s">
        <v>226</v>
      </c>
      <c r="J107">
        <f t="shared" si="6"/>
        <v>21000</v>
      </c>
      <c r="K107">
        <f t="shared" si="7"/>
        <v>7000</v>
      </c>
    </row>
    <row r="108" spans="1:11" x14ac:dyDescent="0.25">
      <c r="A108" t="s">
        <v>115</v>
      </c>
      <c r="B108" s="8">
        <v>45834</v>
      </c>
      <c r="C108" t="s">
        <v>218</v>
      </c>
      <c r="D108" t="s">
        <v>220</v>
      </c>
      <c r="E108" t="s">
        <v>225</v>
      </c>
      <c r="F108">
        <v>7</v>
      </c>
      <c r="G108">
        <v>2500</v>
      </c>
      <c r="H108">
        <v>1800</v>
      </c>
      <c r="I108" t="s">
        <v>226</v>
      </c>
      <c r="J108">
        <f t="shared" si="6"/>
        <v>17500</v>
      </c>
      <c r="K108">
        <f t="shared" si="7"/>
        <v>4900</v>
      </c>
    </row>
    <row r="109" spans="1:11" x14ac:dyDescent="0.25">
      <c r="A109" t="s">
        <v>116</v>
      </c>
      <c r="B109" s="8">
        <v>45822</v>
      </c>
      <c r="C109" t="s">
        <v>210</v>
      </c>
      <c r="D109" t="s">
        <v>220</v>
      </c>
      <c r="E109" t="s">
        <v>222</v>
      </c>
      <c r="F109">
        <v>10</v>
      </c>
      <c r="G109">
        <v>1500</v>
      </c>
      <c r="H109">
        <v>900</v>
      </c>
      <c r="I109" t="s">
        <v>226</v>
      </c>
      <c r="J109">
        <f t="shared" si="6"/>
        <v>15000</v>
      </c>
      <c r="K109">
        <f t="shared" si="7"/>
        <v>6000</v>
      </c>
    </row>
    <row r="110" spans="1:11" x14ac:dyDescent="0.25">
      <c r="A110" t="s">
        <v>117</v>
      </c>
      <c r="B110" s="8">
        <v>45842</v>
      </c>
      <c r="C110" t="s">
        <v>211</v>
      </c>
      <c r="D110" t="s">
        <v>220</v>
      </c>
      <c r="E110" t="s">
        <v>222</v>
      </c>
      <c r="F110">
        <v>5</v>
      </c>
      <c r="G110">
        <v>500</v>
      </c>
      <c r="H110">
        <v>300</v>
      </c>
      <c r="I110" t="s">
        <v>226</v>
      </c>
      <c r="J110">
        <f t="shared" si="6"/>
        <v>2500</v>
      </c>
      <c r="K110">
        <f t="shared" si="7"/>
        <v>1000</v>
      </c>
    </row>
    <row r="111" spans="1:11" x14ac:dyDescent="0.25">
      <c r="A111" t="s">
        <v>118</v>
      </c>
      <c r="B111" s="8">
        <v>45766</v>
      </c>
      <c r="C111" t="s">
        <v>217</v>
      </c>
      <c r="D111" t="s">
        <v>221</v>
      </c>
      <c r="E111" t="s">
        <v>222</v>
      </c>
      <c r="F111">
        <v>10</v>
      </c>
      <c r="G111">
        <v>700</v>
      </c>
      <c r="H111">
        <v>400</v>
      </c>
      <c r="I111" t="s">
        <v>226</v>
      </c>
      <c r="J111">
        <f t="shared" si="6"/>
        <v>7000</v>
      </c>
      <c r="K111">
        <f t="shared" si="7"/>
        <v>3000</v>
      </c>
    </row>
    <row r="112" spans="1:11" x14ac:dyDescent="0.25">
      <c r="A112" t="s">
        <v>119</v>
      </c>
      <c r="B112" s="8">
        <v>45701</v>
      </c>
      <c r="C112" t="s">
        <v>215</v>
      </c>
      <c r="D112" t="s">
        <v>220</v>
      </c>
      <c r="E112" t="s">
        <v>225</v>
      </c>
      <c r="F112">
        <v>4</v>
      </c>
      <c r="G112">
        <v>300</v>
      </c>
      <c r="H112">
        <v>150</v>
      </c>
      <c r="I112" t="s">
        <v>226</v>
      </c>
      <c r="J112">
        <f t="shared" si="6"/>
        <v>1200</v>
      </c>
      <c r="K112">
        <f t="shared" si="7"/>
        <v>600</v>
      </c>
    </row>
    <row r="113" spans="1:11" x14ac:dyDescent="0.25">
      <c r="A113" t="s">
        <v>120</v>
      </c>
      <c r="B113" s="8">
        <v>45857</v>
      </c>
      <c r="C113" t="s">
        <v>210</v>
      </c>
      <c r="D113" t="s">
        <v>220</v>
      </c>
      <c r="E113" t="s">
        <v>222</v>
      </c>
      <c r="F113">
        <v>2</v>
      </c>
      <c r="G113">
        <v>1500</v>
      </c>
      <c r="H113">
        <v>900</v>
      </c>
      <c r="I113" t="s">
        <v>226</v>
      </c>
      <c r="J113">
        <f t="shared" si="6"/>
        <v>3000</v>
      </c>
      <c r="K113">
        <f t="shared" si="7"/>
        <v>1200</v>
      </c>
    </row>
    <row r="114" spans="1:11" x14ac:dyDescent="0.25">
      <c r="A114" t="s">
        <v>121</v>
      </c>
      <c r="B114" s="8">
        <v>45739</v>
      </c>
      <c r="C114" t="s">
        <v>217</v>
      </c>
      <c r="D114" t="s">
        <v>221</v>
      </c>
      <c r="E114" t="s">
        <v>223</v>
      </c>
      <c r="F114">
        <v>6</v>
      </c>
      <c r="G114">
        <v>700</v>
      </c>
      <c r="H114">
        <v>400</v>
      </c>
      <c r="I114" t="s">
        <v>226</v>
      </c>
      <c r="J114">
        <f t="shared" si="6"/>
        <v>4200</v>
      </c>
      <c r="K114">
        <f t="shared" si="7"/>
        <v>1800</v>
      </c>
    </row>
    <row r="115" spans="1:11" x14ac:dyDescent="0.25">
      <c r="A115" t="s">
        <v>122</v>
      </c>
      <c r="B115" s="8">
        <v>45820</v>
      </c>
      <c r="C115" t="s">
        <v>218</v>
      </c>
      <c r="D115" t="s">
        <v>220</v>
      </c>
      <c r="E115" t="s">
        <v>224</v>
      </c>
      <c r="F115">
        <v>5</v>
      </c>
      <c r="G115">
        <v>2500</v>
      </c>
      <c r="H115">
        <v>1800</v>
      </c>
      <c r="I115" t="s">
        <v>226</v>
      </c>
      <c r="J115">
        <f t="shared" si="6"/>
        <v>12500</v>
      </c>
      <c r="K115">
        <f t="shared" si="7"/>
        <v>3500</v>
      </c>
    </row>
    <row r="116" spans="1:11" x14ac:dyDescent="0.25">
      <c r="A116" t="s">
        <v>123</v>
      </c>
      <c r="B116" s="8">
        <v>45751</v>
      </c>
      <c r="C116" t="s">
        <v>210</v>
      </c>
      <c r="D116" t="s">
        <v>220</v>
      </c>
      <c r="E116" t="s">
        <v>223</v>
      </c>
      <c r="F116">
        <v>1</v>
      </c>
      <c r="G116">
        <v>1500</v>
      </c>
      <c r="H116">
        <v>900</v>
      </c>
      <c r="I116" t="s">
        <v>226</v>
      </c>
      <c r="J116">
        <f t="shared" si="6"/>
        <v>1500</v>
      </c>
      <c r="K116">
        <f t="shared" si="7"/>
        <v>600</v>
      </c>
    </row>
    <row r="117" spans="1:11" x14ac:dyDescent="0.25">
      <c r="A117" t="s">
        <v>124</v>
      </c>
      <c r="B117" s="8">
        <v>45863</v>
      </c>
      <c r="C117" t="s">
        <v>215</v>
      </c>
      <c r="D117" t="s">
        <v>220</v>
      </c>
      <c r="E117" t="s">
        <v>223</v>
      </c>
      <c r="F117">
        <v>10</v>
      </c>
      <c r="G117">
        <v>300</v>
      </c>
      <c r="H117">
        <v>150</v>
      </c>
      <c r="I117" t="s">
        <v>226</v>
      </c>
      <c r="J117">
        <f t="shared" si="6"/>
        <v>3000</v>
      </c>
      <c r="K117">
        <f t="shared" si="7"/>
        <v>1500</v>
      </c>
    </row>
    <row r="118" spans="1:11" x14ac:dyDescent="0.25">
      <c r="A118" t="s">
        <v>125</v>
      </c>
      <c r="B118" s="8">
        <v>45792</v>
      </c>
      <c r="C118" t="s">
        <v>217</v>
      </c>
      <c r="D118" t="s">
        <v>221</v>
      </c>
      <c r="E118" t="s">
        <v>225</v>
      </c>
      <c r="F118">
        <v>4</v>
      </c>
      <c r="G118">
        <v>700</v>
      </c>
      <c r="H118">
        <v>400</v>
      </c>
      <c r="I118" t="s">
        <v>226</v>
      </c>
      <c r="J118">
        <f t="shared" si="6"/>
        <v>2800</v>
      </c>
      <c r="K118">
        <f t="shared" si="7"/>
        <v>1200</v>
      </c>
    </row>
    <row r="119" spans="1:11" x14ac:dyDescent="0.25">
      <c r="A119" t="s">
        <v>126</v>
      </c>
      <c r="B119" s="8">
        <v>45742</v>
      </c>
      <c r="C119" t="s">
        <v>218</v>
      </c>
      <c r="D119" t="s">
        <v>220</v>
      </c>
      <c r="E119" t="s">
        <v>223</v>
      </c>
      <c r="F119">
        <v>3</v>
      </c>
      <c r="G119">
        <v>2500</v>
      </c>
      <c r="H119">
        <v>1800</v>
      </c>
      <c r="I119" t="s">
        <v>226</v>
      </c>
      <c r="J119">
        <f t="shared" si="6"/>
        <v>7500</v>
      </c>
      <c r="K119">
        <f t="shared" si="7"/>
        <v>2100</v>
      </c>
    </row>
    <row r="120" spans="1:11" x14ac:dyDescent="0.25">
      <c r="A120" t="s">
        <v>127</v>
      </c>
      <c r="B120" s="8">
        <v>45812</v>
      </c>
      <c r="C120" t="s">
        <v>209</v>
      </c>
      <c r="D120" t="s">
        <v>219</v>
      </c>
      <c r="E120" t="s">
        <v>224</v>
      </c>
      <c r="F120">
        <v>7</v>
      </c>
      <c r="G120">
        <v>2000</v>
      </c>
      <c r="H120">
        <v>1400</v>
      </c>
      <c r="I120" t="s">
        <v>226</v>
      </c>
      <c r="J120">
        <f t="shared" si="6"/>
        <v>14000</v>
      </c>
      <c r="K120">
        <f t="shared" si="7"/>
        <v>4200</v>
      </c>
    </row>
    <row r="121" spans="1:11" x14ac:dyDescent="0.25">
      <c r="A121" t="s">
        <v>128</v>
      </c>
      <c r="B121" s="8">
        <v>45773</v>
      </c>
      <c r="C121" t="s">
        <v>212</v>
      </c>
      <c r="D121" t="s">
        <v>219</v>
      </c>
      <c r="E121" t="s">
        <v>223</v>
      </c>
      <c r="F121">
        <v>8</v>
      </c>
      <c r="G121">
        <v>800</v>
      </c>
      <c r="H121">
        <v>500</v>
      </c>
      <c r="I121" t="s">
        <v>226</v>
      </c>
      <c r="J121">
        <f t="shared" si="6"/>
        <v>6400</v>
      </c>
      <c r="K121">
        <f t="shared" si="7"/>
        <v>2400</v>
      </c>
    </row>
    <row r="122" spans="1:11" x14ac:dyDescent="0.25">
      <c r="A122" t="s">
        <v>129</v>
      </c>
      <c r="B122" s="8">
        <v>45770</v>
      </c>
      <c r="C122" t="s">
        <v>209</v>
      </c>
      <c r="D122" t="s">
        <v>219</v>
      </c>
      <c r="E122" t="s">
        <v>224</v>
      </c>
      <c r="F122">
        <v>8</v>
      </c>
      <c r="G122">
        <v>2000</v>
      </c>
      <c r="H122">
        <v>1400</v>
      </c>
      <c r="I122" t="s">
        <v>226</v>
      </c>
      <c r="J122">
        <f t="shared" si="6"/>
        <v>16000</v>
      </c>
      <c r="K122">
        <f t="shared" si="7"/>
        <v>4800</v>
      </c>
    </row>
    <row r="123" spans="1:11" x14ac:dyDescent="0.25">
      <c r="A123" t="s">
        <v>130</v>
      </c>
      <c r="B123" s="8">
        <v>45726</v>
      </c>
      <c r="C123" t="s">
        <v>212</v>
      </c>
      <c r="D123" t="s">
        <v>219</v>
      </c>
      <c r="E123" t="s">
        <v>222</v>
      </c>
      <c r="F123">
        <v>9</v>
      </c>
      <c r="G123">
        <v>800</v>
      </c>
      <c r="H123">
        <v>500</v>
      </c>
      <c r="I123" t="s">
        <v>226</v>
      </c>
      <c r="J123">
        <f t="shared" si="6"/>
        <v>7200</v>
      </c>
      <c r="K123">
        <f t="shared" si="7"/>
        <v>2700</v>
      </c>
    </row>
    <row r="124" spans="1:11" x14ac:dyDescent="0.25">
      <c r="A124" t="s">
        <v>131</v>
      </c>
      <c r="B124" s="8">
        <v>45726</v>
      </c>
      <c r="C124" t="s">
        <v>215</v>
      </c>
      <c r="D124" t="s">
        <v>220</v>
      </c>
      <c r="E124" t="s">
        <v>225</v>
      </c>
      <c r="F124">
        <v>10</v>
      </c>
      <c r="G124">
        <v>300</v>
      </c>
      <c r="H124">
        <v>150</v>
      </c>
      <c r="I124" t="s">
        <v>226</v>
      </c>
      <c r="J124">
        <f t="shared" si="6"/>
        <v>3000</v>
      </c>
      <c r="K124">
        <f t="shared" si="7"/>
        <v>1500</v>
      </c>
    </row>
    <row r="125" spans="1:11" x14ac:dyDescent="0.25">
      <c r="A125" t="s">
        <v>132</v>
      </c>
      <c r="B125" s="8">
        <v>45795</v>
      </c>
      <c r="C125" t="s">
        <v>212</v>
      </c>
      <c r="D125" t="s">
        <v>219</v>
      </c>
      <c r="E125" t="s">
        <v>224</v>
      </c>
      <c r="F125">
        <v>8</v>
      </c>
      <c r="G125">
        <v>800</v>
      </c>
      <c r="H125">
        <v>500</v>
      </c>
      <c r="I125" t="s">
        <v>226</v>
      </c>
      <c r="J125">
        <f t="shared" si="6"/>
        <v>6400</v>
      </c>
      <c r="K125">
        <f t="shared" si="7"/>
        <v>2400</v>
      </c>
    </row>
    <row r="126" spans="1:11" x14ac:dyDescent="0.25">
      <c r="A126" t="s">
        <v>133</v>
      </c>
      <c r="B126" s="8">
        <v>45809</v>
      </c>
      <c r="C126" t="s">
        <v>215</v>
      </c>
      <c r="D126" t="s">
        <v>220</v>
      </c>
      <c r="E126" t="s">
        <v>222</v>
      </c>
      <c r="F126">
        <v>8</v>
      </c>
      <c r="G126">
        <v>300</v>
      </c>
      <c r="H126">
        <v>150</v>
      </c>
      <c r="I126" t="s">
        <v>226</v>
      </c>
      <c r="J126">
        <f t="shared" si="6"/>
        <v>2400</v>
      </c>
      <c r="K126">
        <f t="shared" si="7"/>
        <v>1200</v>
      </c>
    </row>
    <row r="127" spans="1:11" x14ac:dyDescent="0.25">
      <c r="A127" t="s">
        <v>134</v>
      </c>
      <c r="B127" s="8">
        <v>45742</v>
      </c>
      <c r="C127" t="s">
        <v>213</v>
      </c>
      <c r="D127" t="s">
        <v>221</v>
      </c>
      <c r="E127" t="s">
        <v>225</v>
      </c>
      <c r="F127">
        <v>9</v>
      </c>
      <c r="G127">
        <v>1200</v>
      </c>
      <c r="H127">
        <v>800</v>
      </c>
      <c r="I127" t="s">
        <v>226</v>
      </c>
      <c r="J127">
        <f t="shared" si="6"/>
        <v>10800</v>
      </c>
      <c r="K127">
        <f t="shared" si="7"/>
        <v>3600</v>
      </c>
    </row>
    <row r="128" spans="1:11" x14ac:dyDescent="0.25">
      <c r="A128" t="s">
        <v>135</v>
      </c>
      <c r="B128" s="8">
        <v>45826</v>
      </c>
      <c r="C128" t="s">
        <v>213</v>
      </c>
      <c r="D128" t="s">
        <v>221</v>
      </c>
      <c r="E128" t="s">
        <v>223</v>
      </c>
      <c r="F128">
        <v>8</v>
      </c>
      <c r="G128">
        <v>1200</v>
      </c>
      <c r="H128">
        <v>800</v>
      </c>
      <c r="I128" t="s">
        <v>226</v>
      </c>
      <c r="J128">
        <f t="shared" si="6"/>
        <v>9600</v>
      </c>
      <c r="K128">
        <f t="shared" si="7"/>
        <v>3200</v>
      </c>
    </row>
    <row r="129" spans="1:11" x14ac:dyDescent="0.25">
      <c r="A129" t="s">
        <v>136</v>
      </c>
      <c r="B129" s="8">
        <v>45729</v>
      </c>
      <c r="C129" t="s">
        <v>218</v>
      </c>
      <c r="D129" t="s">
        <v>220</v>
      </c>
      <c r="E129" t="s">
        <v>222</v>
      </c>
      <c r="F129">
        <v>5</v>
      </c>
      <c r="G129">
        <v>2500</v>
      </c>
      <c r="H129">
        <v>1800</v>
      </c>
      <c r="I129" t="s">
        <v>226</v>
      </c>
      <c r="J129">
        <f t="shared" si="6"/>
        <v>12500</v>
      </c>
      <c r="K129">
        <f t="shared" si="7"/>
        <v>3500</v>
      </c>
    </row>
    <row r="130" spans="1:11" x14ac:dyDescent="0.25">
      <c r="A130" t="s">
        <v>137</v>
      </c>
      <c r="B130" s="8">
        <v>45714</v>
      </c>
      <c r="C130" t="s">
        <v>212</v>
      </c>
      <c r="D130" t="s">
        <v>219</v>
      </c>
      <c r="E130" t="s">
        <v>224</v>
      </c>
      <c r="F130">
        <v>2</v>
      </c>
      <c r="G130">
        <v>800</v>
      </c>
      <c r="H130">
        <v>500</v>
      </c>
      <c r="I130" t="s">
        <v>226</v>
      </c>
      <c r="J130">
        <f t="shared" ref="J130:J161" si="8">F130*G130</f>
        <v>1600</v>
      </c>
      <c r="K130">
        <f t="shared" ref="K130:K161" si="9">F130*(G130-H130)</f>
        <v>600</v>
      </c>
    </row>
    <row r="131" spans="1:11" x14ac:dyDescent="0.25">
      <c r="A131" t="s">
        <v>138</v>
      </c>
      <c r="B131" s="8">
        <v>45860</v>
      </c>
      <c r="C131" t="s">
        <v>216</v>
      </c>
      <c r="D131" t="s">
        <v>221</v>
      </c>
      <c r="E131" t="s">
        <v>224</v>
      </c>
      <c r="F131">
        <v>3</v>
      </c>
      <c r="G131">
        <v>1000</v>
      </c>
      <c r="H131">
        <v>600</v>
      </c>
      <c r="I131" t="s">
        <v>227</v>
      </c>
      <c r="J131">
        <f t="shared" si="8"/>
        <v>3000</v>
      </c>
      <c r="K131">
        <f t="shared" si="9"/>
        <v>1200</v>
      </c>
    </row>
    <row r="132" spans="1:11" x14ac:dyDescent="0.25">
      <c r="A132" t="s">
        <v>139</v>
      </c>
      <c r="B132" s="8">
        <v>45712</v>
      </c>
      <c r="C132" t="s">
        <v>216</v>
      </c>
      <c r="D132" t="s">
        <v>221</v>
      </c>
      <c r="E132" t="s">
        <v>225</v>
      </c>
      <c r="F132">
        <v>6</v>
      </c>
      <c r="G132">
        <v>1000</v>
      </c>
      <c r="H132">
        <v>600</v>
      </c>
      <c r="I132" t="s">
        <v>226</v>
      </c>
      <c r="J132">
        <f t="shared" si="8"/>
        <v>6000</v>
      </c>
      <c r="K132">
        <f t="shared" si="9"/>
        <v>2400</v>
      </c>
    </row>
    <row r="133" spans="1:11" x14ac:dyDescent="0.25">
      <c r="A133" t="s">
        <v>140</v>
      </c>
      <c r="B133" s="8">
        <v>45698</v>
      </c>
      <c r="C133" t="s">
        <v>218</v>
      </c>
      <c r="D133" t="s">
        <v>220</v>
      </c>
      <c r="E133" t="s">
        <v>225</v>
      </c>
      <c r="F133">
        <v>7</v>
      </c>
      <c r="G133">
        <v>2500</v>
      </c>
      <c r="H133">
        <v>1800</v>
      </c>
      <c r="I133" t="s">
        <v>226</v>
      </c>
      <c r="J133">
        <f t="shared" si="8"/>
        <v>17500</v>
      </c>
      <c r="K133">
        <f t="shared" si="9"/>
        <v>4900</v>
      </c>
    </row>
    <row r="134" spans="1:11" x14ac:dyDescent="0.25">
      <c r="A134" t="s">
        <v>141</v>
      </c>
      <c r="B134" s="8">
        <v>45692</v>
      </c>
      <c r="C134" t="s">
        <v>217</v>
      </c>
      <c r="D134" t="s">
        <v>221</v>
      </c>
      <c r="E134" t="s">
        <v>225</v>
      </c>
      <c r="F134">
        <v>1</v>
      </c>
      <c r="G134">
        <v>700</v>
      </c>
      <c r="H134">
        <v>400</v>
      </c>
      <c r="I134" t="s">
        <v>226</v>
      </c>
      <c r="J134">
        <f t="shared" si="8"/>
        <v>700</v>
      </c>
      <c r="K134">
        <f t="shared" si="9"/>
        <v>300</v>
      </c>
    </row>
    <row r="135" spans="1:11" x14ac:dyDescent="0.25">
      <c r="A135" t="s">
        <v>142</v>
      </c>
      <c r="B135" s="8">
        <v>45811</v>
      </c>
      <c r="C135" t="s">
        <v>214</v>
      </c>
      <c r="D135" t="s">
        <v>221</v>
      </c>
      <c r="E135" t="s">
        <v>225</v>
      </c>
      <c r="F135">
        <v>5</v>
      </c>
      <c r="G135">
        <v>3000</v>
      </c>
      <c r="H135">
        <v>2000</v>
      </c>
      <c r="I135" t="s">
        <v>226</v>
      </c>
      <c r="J135">
        <f t="shared" si="8"/>
        <v>15000</v>
      </c>
      <c r="K135">
        <f t="shared" si="9"/>
        <v>5000</v>
      </c>
    </row>
    <row r="136" spans="1:11" x14ac:dyDescent="0.25">
      <c r="A136" t="s">
        <v>143</v>
      </c>
      <c r="B136" s="8">
        <v>45826</v>
      </c>
      <c r="C136" t="s">
        <v>216</v>
      </c>
      <c r="D136" t="s">
        <v>221</v>
      </c>
      <c r="E136" t="s">
        <v>224</v>
      </c>
      <c r="F136">
        <v>9</v>
      </c>
      <c r="G136">
        <v>1000</v>
      </c>
      <c r="H136">
        <v>600</v>
      </c>
      <c r="I136" t="s">
        <v>226</v>
      </c>
      <c r="J136">
        <f t="shared" si="8"/>
        <v>9000</v>
      </c>
      <c r="K136">
        <f t="shared" si="9"/>
        <v>3600</v>
      </c>
    </row>
    <row r="137" spans="1:11" x14ac:dyDescent="0.25">
      <c r="A137" t="s">
        <v>144</v>
      </c>
      <c r="B137" s="8">
        <v>45770</v>
      </c>
      <c r="C137" t="s">
        <v>213</v>
      </c>
      <c r="D137" t="s">
        <v>221</v>
      </c>
      <c r="E137" t="s">
        <v>225</v>
      </c>
      <c r="F137">
        <v>7</v>
      </c>
      <c r="G137">
        <v>1200</v>
      </c>
      <c r="H137">
        <v>800</v>
      </c>
      <c r="I137" t="s">
        <v>227</v>
      </c>
      <c r="J137">
        <f t="shared" si="8"/>
        <v>8400</v>
      </c>
      <c r="K137">
        <f t="shared" si="9"/>
        <v>2800</v>
      </c>
    </row>
    <row r="138" spans="1:11" x14ac:dyDescent="0.25">
      <c r="A138" t="s">
        <v>145</v>
      </c>
      <c r="B138" s="8">
        <v>45702</v>
      </c>
      <c r="C138" t="s">
        <v>214</v>
      </c>
      <c r="D138" t="s">
        <v>221</v>
      </c>
      <c r="E138" t="s">
        <v>224</v>
      </c>
      <c r="F138">
        <v>7</v>
      </c>
      <c r="G138">
        <v>3000</v>
      </c>
      <c r="H138">
        <v>2000</v>
      </c>
      <c r="I138" t="s">
        <v>226</v>
      </c>
      <c r="J138">
        <f t="shared" si="8"/>
        <v>21000</v>
      </c>
      <c r="K138">
        <f t="shared" si="9"/>
        <v>7000</v>
      </c>
    </row>
    <row r="139" spans="1:11" x14ac:dyDescent="0.25">
      <c r="A139" t="s">
        <v>146</v>
      </c>
      <c r="B139" s="8">
        <v>45779</v>
      </c>
      <c r="C139" t="s">
        <v>210</v>
      </c>
      <c r="D139" t="s">
        <v>220</v>
      </c>
      <c r="E139" t="s">
        <v>223</v>
      </c>
      <c r="F139">
        <v>10</v>
      </c>
      <c r="G139">
        <v>1500</v>
      </c>
      <c r="H139">
        <v>900</v>
      </c>
      <c r="I139" t="s">
        <v>226</v>
      </c>
      <c r="J139">
        <f t="shared" si="8"/>
        <v>15000</v>
      </c>
      <c r="K139">
        <f t="shared" si="9"/>
        <v>6000</v>
      </c>
    </row>
    <row r="140" spans="1:11" x14ac:dyDescent="0.25">
      <c r="A140" t="s">
        <v>147</v>
      </c>
      <c r="B140" s="8">
        <v>45682</v>
      </c>
      <c r="C140" t="s">
        <v>217</v>
      </c>
      <c r="D140" t="s">
        <v>221</v>
      </c>
      <c r="E140" t="s">
        <v>223</v>
      </c>
      <c r="F140">
        <v>10</v>
      </c>
      <c r="G140">
        <v>700</v>
      </c>
      <c r="H140">
        <v>400</v>
      </c>
      <c r="I140" t="s">
        <v>227</v>
      </c>
      <c r="J140">
        <f t="shared" si="8"/>
        <v>7000</v>
      </c>
      <c r="K140">
        <f t="shared" si="9"/>
        <v>3000</v>
      </c>
    </row>
    <row r="141" spans="1:11" x14ac:dyDescent="0.25">
      <c r="A141" t="s">
        <v>148</v>
      </c>
      <c r="B141" s="8">
        <v>45700</v>
      </c>
      <c r="C141" t="s">
        <v>216</v>
      </c>
      <c r="D141" t="s">
        <v>221</v>
      </c>
      <c r="E141" t="s">
        <v>225</v>
      </c>
      <c r="F141">
        <v>3</v>
      </c>
      <c r="G141">
        <v>1000</v>
      </c>
      <c r="H141">
        <v>600</v>
      </c>
      <c r="I141" t="s">
        <v>226</v>
      </c>
      <c r="J141">
        <f t="shared" si="8"/>
        <v>3000</v>
      </c>
      <c r="K141">
        <f t="shared" si="9"/>
        <v>1200</v>
      </c>
    </row>
    <row r="142" spans="1:11" x14ac:dyDescent="0.25">
      <c r="A142" t="s">
        <v>149</v>
      </c>
      <c r="B142" s="8">
        <v>45709</v>
      </c>
      <c r="C142" t="s">
        <v>213</v>
      </c>
      <c r="D142" t="s">
        <v>221</v>
      </c>
      <c r="E142" t="s">
        <v>222</v>
      </c>
      <c r="F142">
        <v>7</v>
      </c>
      <c r="G142">
        <v>1200</v>
      </c>
      <c r="H142">
        <v>800</v>
      </c>
      <c r="I142" t="s">
        <v>226</v>
      </c>
      <c r="J142">
        <f t="shared" si="8"/>
        <v>8400</v>
      </c>
      <c r="K142">
        <f t="shared" si="9"/>
        <v>2800</v>
      </c>
    </row>
    <row r="143" spans="1:11" x14ac:dyDescent="0.25">
      <c r="A143" t="s">
        <v>150</v>
      </c>
      <c r="B143" s="8">
        <v>45701</v>
      </c>
      <c r="C143" t="s">
        <v>214</v>
      </c>
      <c r="D143" t="s">
        <v>221</v>
      </c>
      <c r="E143" t="s">
        <v>225</v>
      </c>
      <c r="F143">
        <v>6</v>
      </c>
      <c r="G143">
        <v>3000</v>
      </c>
      <c r="H143">
        <v>2000</v>
      </c>
      <c r="I143" t="s">
        <v>226</v>
      </c>
      <c r="J143">
        <f t="shared" si="8"/>
        <v>18000</v>
      </c>
      <c r="K143">
        <f t="shared" si="9"/>
        <v>6000</v>
      </c>
    </row>
    <row r="144" spans="1:11" x14ac:dyDescent="0.25">
      <c r="A144" t="s">
        <v>151</v>
      </c>
      <c r="B144" s="8">
        <v>45852</v>
      </c>
      <c r="C144" t="s">
        <v>216</v>
      </c>
      <c r="D144" t="s">
        <v>221</v>
      </c>
      <c r="E144" t="s">
        <v>223</v>
      </c>
      <c r="F144">
        <v>5</v>
      </c>
      <c r="G144">
        <v>1000</v>
      </c>
      <c r="H144">
        <v>600</v>
      </c>
      <c r="I144" t="s">
        <v>226</v>
      </c>
      <c r="J144">
        <f t="shared" si="8"/>
        <v>5000</v>
      </c>
      <c r="K144">
        <f t="shared" si="9"/>
        <v>2000</v>
      </c>
    </row>
    <row r="145" spans="1:11" x14ac:dyDescent="0.25">
      <c r="A145" t="s">
        <v>152</v>
      </c>
      <c r="B145" s="8">
        <v>45852</v>
      </c>
      <c r="C145" t="s">
        <v>212</v>
      </c>
      <c r="D145" t="s">
        <v>219</v>
      </c>
      <c r="E145" t="s">
        <v>222</v>
      </c>
      <c r="F145">
        <v>1</v>
      </c>
      <c r="G145">
        <v>800</v>
      </c>
      <c r="H145">
        <v>500</v>
      </c>
      <c r="I145" t="s">
        <v>226</v>
      </c>
      <c r="J145">
        <f t="shared" si="8"/>
        <v>800</v>
      </c>
      <c r="K145">
        <f t="shared" si="9"/>
        <v>300</v>
      </c>
    </row>
    <row r="146" spans="1:11" x14ac:dyDescent="0.25">
      <c r="A146" t="s">
        <v>153</v>
      </c>
      <c r="B146" s="8">
        <v>45727</v>
      </c>
      <c r="C146" t="s">
        <v>209</v>
      </c>
      <c r="D146" t="s">
        <v>219</v>
      </c>
      <c r="E146" t="s">
        <v>223</v>
      </c>
      <c r="F146">
        <v>1</v>
      </c>
      <c r="G146">
        <v>2000</v>
      </c>
      <c r="H146">
        <v>1400</v>
      </c>
      <c r="I146" t="s">
        <v>226</v>
      </c>
      <c r="J146">
        <f t="shared" si="8"/>
        <v>2000</v>
      </c>
      <c r="K146">
        <f t="shared" si="9"/>
        <v>600</v>
      </c>
    </row>
    <row r="147" spans="1:11" x14ac:dyDescent="0.25">
      <c r="A147" t="s">
        <v>154</v>
      </c>
      <c r="B147" s="8">
        <v>45696</v>
      </c>
      <c r="C147" t="s">
        <v>218</v>
      </c>
      <c r="D147" t="s">
        <v>220</v>
      </c>
      <c r="E147" t="s">
        <v>224</v>
      </c>
      <c r="F147">
        <v>1</v>
      </c>
      <c r="G147">
        <v>2500</v>
      </c>
      <c r="H147">
        <v>1800</v>
      </c>
      <c r="I147" t="s">
        <v>226</v>
      </c>
      <c r="J147">
        <f t="shared" si="8"/>
        <v>2500</v>
      </c>
      <c r="K147">
        <f t="shared" si="9"/>
        <v>700</v>
      </c>
    </row>
    <row r="148" spans="1:11" x14ac:dyDescent="0.25">
      <c r="A148" t="s">
        <v>155</v>
      </c>
      <c r="B148" s="8">
        <v>45724</v>
      </c>
      <c r="C148" t="s">
        <v>215</v>
      </c>
      <c r="D148" t="s">
        <v>220</v>
      </c>
      <c r="E148" t="s">
        <v>224</v>
      </c>
      <c r="F148">
        <v>2</v>
      </c>
      <c r="G148">
        <v>300</v>
      </c>
      <c r="H148">
        <v>150</v>
      </c>
      <c r="I148" t="s">
        <v>226</v>
      </c>
      <c r="J148">
        <f t="shared" si="8"/>
        <v>600</v>
      </c>
      <c r="K148">
        <f t="shared" si="9"/>
        <v>300</v>
      </c>
    </row>
    <row r="149" spans="1:11" x14ac:dyDescent="0.25">
      <c r="A149" t="s">
        <v>156</v>
      </c>
      <c r="B149" s="8">
        <v>45807</v>
      </c>
      <c r="C149" t="s">
        <v>213</v>
      </c>
      <c r="D149" t="s">
        <v>221</v>
      </c>
      <c r="E149" t="s">
        <v>224</v>
      </c>
      <c r="F149">
        <v>6</v>
      </c>
      <c r="G149">
        <v>1200</v>
      </c>
      <c r="H149">
        <v>800</v>
      </c>
      <c r="I149" t="s">
        <v>226</v>
      </c>
      <c r="J149">
        <f t="shared" si="8"/>
        <v>7200</v>
      </c>
      <c r="K149">
        <f t="shared" si="9"/>
        <v>2400</v>
      </c>
    </row>
    <row r="150" spans="1:11" x14ac:dyDescent="0.25">
      <c r="A150" t="s">
        <v>157</v>
      </c>
      <c r="B150" s="8">
        <v>45758</v>
      </c>
      <c r="C150" t="s">
        <v>209</v>
      </c>
      <c r="D150" t="s">
        <v>219</v>
      </c>
      <c r="E150" t="s">
        <v>222</v>
      </c>
      <c r="F150">
        <v>3</v>
      </c>
      <c r="G150">
        <v>2000</v>
      </c>
      <c r="H150">
        <v>1400</v>
      </c>
      <c r="I150" t="s">
        <v>226</v>
      </c>
      <c r="J150">
        <f t="shared" si="8"/>
        <v>6000</v>
      </c>
      <c r="K150">
        <f t="shared" si="9"/>
        <v>1800</v>
      </c>
    </row>
    <row r="151" spans="1:11" x14ac:dyDescent="0.25">
      <c r="A151" t="s">
        <v>158</v>
      </c>
      <c r="B151" s="8">
        <v>45843</v>
      </c>
      <c r="C151" t="s">
        <v>211</v>
      </c>
      <c r="D151" t="s">
        <v>220</v>
      </c>
      <c r="E151" t="s">
        <v>225</v>
      </c>
      <c r="F151">
        <v>5</v>
      </c>
      <c r="G151">
        <v>500</v>
      </c>
      <c r="H151">
        <v>300</v>
      </c>
      <c r="I151" t="s">
        <v>226</v>
      </c>
      <c r="J151">
        <f t="shared" si="8"/>
        <v>2500</v>
      </c>
      <c r="K151">
        <f t="shared" si="9"/>
        <v>1000</v>
      </c>
    </row>
    <row r="152" spans="1:11" x14ac:dyDescent="0.25">
      <c r="A152" t="s">
        <v>159</v>
      </c>
      <c r="B152" s="8">
        <v>45825</v>
      </c>
      <c r="C152" t="s">
        <v>218</v>
      </c>
      <c r="D152" t="s">
        <v>220</v>
      </c>
      <c r="E152" t="s">
        <v>224</v>
      </c>
      <c r="F152">
        <v>2</v>
      </c>
      <c r="G152">
        <v>2500</v>
      </c>
      <c r="H152">
        <v>1800</v>
      </c>
      <c r="I152" t="s">
        <v>226</v>
      </c>
      <c r="J152">
        <f t="shared" si="8"/>
        <v>5000</v>
      </c>
      <c r="K152">
        <f t="shared" si="9"/>
        <v>1400</v>
      </c>
    </row>
    <row r="153" spans="1:11" x14ac:dyDescent="0.25">
      <c r="A153" t="s">
        <v>160</v>
      </c>
      <c r="B153" s="8">
        <v>45788</v>
      </c>
      <c r="C153" t="s">
        <v>213</v>
      </c>
      <c r="D153" t="s">
        <v>221</v>
      </c>
      <c r="E153" t="s">
        <v>223</v>
      </c>
      <c r="F153">
        <v>10</v>
      </c>
      <c r="G153">
        <v>1200</v>
      </c>
      <c r="H153">
        <v>800</v>
      </c>
      <c r="I153" t="s">
        <v>226</v>
      </c>
      <c r="J153">
        <f t="shared" si="8"/>
        <v>12000</v>
      </c>
      <c r="K153">
        <f t="shared" si="9"/>
        <v>4000</v>
      </c>
    </row>
    <row r="154" spans="1:11" x14ac:dyDescent="0.25">
      <c r="A154" t="s">
        <v>161</v>
      </c>
      <c r="B154" s="8">
        <v>45795</v>
      </c>
      <c r="C154" t="s">
        <v>217</v>
      </c>
      <c r="D154" t="s">
        <v>221</v>
      </c>
      <c r="E154" t="s">
        <v>222</v>
      </c>
      <c r="F154">
        <v>1</v>
      </c>
      <c r="G154">
        <v>700</v>
      </c>
      <c r="H154">
        <v>400</v>
      </c>
      <c r="I154" t="s">
        <v>226</v>
      </c>
      <c r="J154">
        <f t="shared" si="8"/>
        <v>700</v>
      </c>
      <c r="K154">
        <f t="shared" si="9"/>
        <v>300</v>
      </c>
    </row>
    <row r="155" spans="1:11" x14ac:dyDescent="0.25">
      <c r="A155" t="s">
        <v>162</v>
      </c>
      <c r="B155" s="8">
        <v>45795</v>
      </c>
      <c r="C155" t="s">
        <v>214</v>
      </c>
      <c r="D155" t="s">
        <v>221</v>
      </c>
      <c r="E155" t="s">
        <v>222</v>
      </c>
      <c r="F155">
        <v>2</v>
      </c>
      <c r="G155">
        <v>3000</v>
      </c>
      <c r="H155">
        <v>2000</v>
      </c>
      <c r="I155" t="s">
        <v>227</v>
      </c>
      <c r="J155">
        <f t="shared" si="8"/>
        <v>6000</v>
      </c>
      <c r="K155">
        <f t="shared" si="9"/>
        <v>2000</v>
      </c>
    </row>
    <row r="156" spans="1:11" x14ac:dyDescent="0.25">
      <c r="A156" t="s">
        <v>163</v>
      </c>
      <c r="B156" s="8">
        <v>45817</v>
      </c>
      <c r="C156" t="s">
        <v>216</v>
      </c>
      <c r="D156" t="s">
        <v>221</v>
      </c>
      <c r="E156" t="s">
        <v>223</v>
      </c>
      <c r="F156">
        <v>8</v>
      </c>
      <c r="G156">
        <v>1000</v>
      </c>
      <c r="H156">
        <v>600</v>
      </c>
      <c r="I156" t="s">
        <v>226</v>
      </c>
      <c r="J156">
        <f t="shared" si="8"/>
        <v>8000</v>
      </c>
      <c r="K156">
        <f t="shared" si="9"/>
        <v>3200</v>
      </c>
    </row>
    <row r="157" spans="1:11" x14ac:dyDescent="0.25">
      <c r="A157" t="s">
        <v>164</v>
      </c>
      <c r="B157" s="8">
        <v>45767</v>
      </c>
      <c r="C157" t="s">
        <v>214</v>
      </c>
      <c r="D157" t="s">
        <v>221</v>
      </c>
      <c r="E157" t="s">
        <v>224</v>
      </c>
      <c r="F157">
        <v>8</v>
      </c>
      <c r="G157">
        <v>3000</v>
      </c>
      <c r="H157">
        <v>2000</v>
      </c>
      <c r="I157" t="s">
        <v>226</v>
      </c>
      <c r="J157">
        <f t="shared" si="8"/>
        <v>24000</v>
      </c>
      <c r="K157">
        <f t="shared" si="9"/>
        <v>8000</v>
      </c>
    </row>
    <row r="158" spans="1:11" x14ac:dyDescent="0.25">
      <c r="A158" t="s">
        <v>165</v>
      </c>
      <c r="B158" s="8">
        <v>45740</v>
      </c>
      <c r="C158" t="s">
        <v>212</v>
      </c>
      <c r="D158" t="s">
        <v>219</v>
      </c>
      <c r="E158" t="s">
        <v>225</v>
      </c>
      <c r="F158">
        <v>5</v>
      </c>
      <c r="G158">
        <v>800</v>
      </c>
      <c r="H158">
        <v>500</v>
      </c>
      <c r="I158" t="s">
        <v>226</v>
      </c>
      <c r="J158">
        <f t="shared" si="8"/>
        <v>4000</v>
      </c>
      <c r="K158">
        <f t="shared" si="9"/>
        <v>1500</v>
      </c>
    </row>
    <row r="159" spans="1:11" x14ac:dyDescent="0.25">
      <c r="A159" t="s">
        <v>166</v>
      </c>
      <c r="B159" s="8">
        <v>45781</v>
      </c>
      <c r="C159" t="s">
        <v>217</v>
      </c>
      <c r="D159" t="s">
        <v>221</v>
      </c>
      <c r="E159" t="s">
        <v>222</v>
      </c>
      <c r="F159">
        <v>5</v>
      </c>
      <c r="G159">
        <v>700</v>
      </c>
      <c r="H159">
        <v>400</v>
      </c>
      <c r="I159" t="s">
        <v>226</v>
      </c>
      <c r="J159">
        <f t="shared" si="8"/>
        <v>3500</v>
      </c>
      <c r="K159">
        <f t="shared" si="9"/>
        <v>1500</v>
      </c>
    </row>
    <row r="160" spans="1:11" x14ac:dyDescent="0.25">
      <c r="A160" t="s">
        <v>167</v>
      </c>
      <c r="B160" s="8">
        <v>45769</v>
      </c>
      <c r="C160" t="s">
        <v>209</v>
      </c>
      <c r="D160" t="s">
        <v>219</v>
      </c>
      <c r="E160" t="s">
        <v>225</v>
      </c>
      <c r="F160">
        <v>5</v>
      </c>
      <c r="G160">
        <v>2000</v>
      </c>
      <c r="H160">
        <v>1400</v>
      </c>
      <c r="I160" t="s">
        <v>226</v>
      </c>
      <c r="J160">
        <f t="shared" si="8"/>
        <v>10000</v>
      </c>
      <c r="K160">
        <f t="shared" si="9"/>
        <v>3000</v>
      </c>
    </row>
    <row r="161" spans="1:11" x14ac:dyDescent="0.25">
      <c r="A161" t="s">
        <v>168</v>
      </c>
      <c r="B161" s="8">
        <v>45727</v>
      </c>
      <c r="C161" t="s">
        <v>215</v>
      </c>
      <c r="D161" t="s">
        <v>220</v>
      </c>
      <c r="E161" t="s">
        <v>225</v>
      </c>
      <c r="F161">
        <v>10</v>
      </c>
      <c r="G161">
        <v>300</v>
      </c>
      <c r="H161">
        <v>150</v>
      </c>
      <c r="I161" t="s">
        <v>226</v>
      </c>
      <c r="J161">
        <f t="shared" si="8"/>
        <v>3000</v>
      </c>
      <c r="K161">
        <f t="shared" si="9"/>
        <v>1500</v>
      </c>
    </row>
    <row r="162" spans="1:11" x14ac:dyDescent="0.25">
      <c r="A162" t="s">
        <v>169</v>
      </c>
      <c r="B162" s="8">
        <v>45709</v>
      </c>
      <c r="C162" t="s">
        <v>215</v>
      </c>
      <c r="D162" t="s">
        <v>220</v>
      </c>
      <c r="E162" t="s">
        <v>224</v>
      </c>
      <c r="F162">
        <v>6</v>
      </c>
      <c r="G162">
        <v>300</v>
      </c>
      <c r="H162">
        <v>150</v>
      </c>
      <c r="I162" t="s">
        <v>226</v>
      </c>
      <c r="J162">
        <f t="shared" ref="J162:J193" si="10">F162*G162</f>
        <v>1800</v>
      </c>
      <c r="K162">
        <f t="shared" ref="K162:K193" si="11">F162*(G162-H162)</f>
        <v>900</v>
      </c>
    </row>
    <row r="163" spans="1:11" x14ac:dyDescent="0.25">
      <c r="A163" t="s">
        <v>170</v>
      </c>
      <c r="B163" s="8">
        <v>45832</v>
      </c>
      <c r="C163" t="s">
        <v>214</v>
      </c>
      <c r="D163" t="s">
        <v>221</v>
      </c>
      <c r="E163" t="s">
        <v>222</v>
      </c>
      <c r="F163">
        <v>5</v>
      </c>
      <c r="G163">
        <v>3000</v>
      </c>
      <c r="H163">
        <v>2000</v>
      </c>
      <c r="I163" t="s">
        <v>226</v>
      </c>
      <c r="J163">
        <f t="shared" si="10"/>
        <v>15000</v>
      </c>
      <c r="K163">
        <f t="shared" si="11"/>
        <v>5000</v>
      </c>
    </row>
    <row r="164" spans="1:11" x14ac:dyDescent="0.25">
      <c r="A164" t="s">
        <v>171</v>
      </c>
      <c r="B164" s="8">
        <v>45736</v>
      </c>
      <c r="C164" t="s">
        <v>217</v>
      </c>
      <c r="D164" t="s">
        <v>221</v>
      </c>
      <c r="E164" t="s">
        <v>223</v>
      </c>
      <c r="F164">
        <v>5</v>
      </c>
      <c r="G164">
        <v>700</v>
      </c>
      <c r="H164">
        <v>400</v>
      </c>
      <c r="I164" t="s">
        <v>226</v>
      </c>
      <c r="J164">
        <f t="shared" si="10"/>
        <v>3500</v>
      </c>
      <c r="K164">
        <f t="shared" si="11"/>
        <v>1500</v>
      </c>
    </row>
    <row r="165" spans="1:11" x14ac:dyDescent="0.25">
      <c r="A165" t="s">
        <v>172</v>
      </c>
      <c r="B165" s="8">
        <v>45834</v>
      </c>
      <c r="C165" t="s">
        <v>218</v>
      </c>
      <c r="D165" t="s">
        <v>220</v>
      </c>
      <c r="E165" t="s">
        <v>224</v>
      </c>
      <c r="F165">
        <v>2</v>
      </c>
      <c r="G165">
        <v>2500</v>
      </c>
      <c r="H165">
        <v>1800</v>
      </c>
      <c r="I165" t="s">
        <v>226</v>
      </c>
      <c r="J165">
        <f t="shared" si="10"/>
        <v>5000</v>
      </c>
      <c r="K165">
        <f t="shared" si="11"/>
        <v>1400</v>
      </c>
    </row>
    <row r="166" spans="1:11" x14ac:dyDescent="0.25">
      <c r="A166" t="s">
        <v>173</v>
      </c>
      <c r="B166" s="8">
        <v>45814</v>
      </c>
      <c r="C166" t="s">
        <v>215</v>
      </c>
      <c r="D166" t="s">
        <v>220</v>
      </c>
      <c r="E166" t="s">
        <v>224</v>
      </c>
      <c r="F166">
        <v>9</v>
      </c>
      <c r="G166">
        <v>300</v>
      </c>
      <c r="H166">
        <v>150</v>
      </c>
      <c r="I166" t="s">
        <v>226</v>
      </c>
      <c r="J166">
        <f t="shared" si="10"/>
        <v>2700</v>
      </c>
      <c r="K166">
        <f t="shared" si="11"/>
        <v>1350</v>
      </c>
    </row>
    <row r="167" spans="1:11" x14ac:dyDescent="0.25">
      <c r="A167" t="s">
        <v>174</v>
      </c>
      <c r="B167" s="8">
        <v>45832</v>
      </c>
      <c r="C167" t="s">
        <v>215</v>
      </c>
      <c r="D167" t="s">
        <v>220</v>
      </c>
      <c r="E167" t="s">
        <v>223</v>
      </c>
      <c r="F167">
        <v>8</v>
      </c>
      <c r="G167">
        <v>300</v>
      </c>
      <c r="H167">
        <v>150</v>
      </c>
      <c r="I167" t="s">
        <v>227</v>
      </c>
      <c r="J167">
        <f t="shared" si="10"/>
        <v>2400</v>
      </c>
      <c r="K167">
        <f t="shared" si="11"/>
        <v>1200</v>
      </c>
    </row>
    <row r="168" spans="1:11" x14ac:dyDescent="0.25">
      <c r="A168" t="s">
        <v>175</v>
      </c>
      <c r="B168" s="8">
        <v>45707</v>
      </c>
      <c r="C168" t="s">
        <v>218</v>
      </c>
      <c r="D168" t="s">
        <v>220</v>
      </c>
      <c r="E168" t="s">
        <v>224</v>
      </c>
      <c r="F168">
        <v>7</v>
      </c>
      <c r="G168">
        <v>2500</v>
      </c>
      <c r="H168">
        <v>1800</v>
      </c>
      <c r="I168" t="s">
        <v>226</v>
      </c>
      <c r="J168">
        <f t="shared" si="10"/>
        <v>17500</v>
      </c>
      <c r="K168">
        <f t="shared" si="11"/>
        <v>4900</v>
      </c>
    </row>
    <row r="169" spans="1:11" x14ac:dyDescent="0.25">
      <c r="A169" t="s">
        <v>176</v>
      </c>
      <c r="B169" s="8">
        <v>45786</v>
      </c>
      <c r="C169" t="s">
        <v>217</v>
      </c>
      <c r="D169" t="s">
        <v>221</v>
      </c>
      <c r="E169" t="s">
        <v>225</v>
      </c>
      <c r="F169">
        <v>6</v>
      </c>
      <c r="G169">
        <v>700</v>
      </c>
      <c r="H169">
        <v>400</v>
      </c>
      <c r="I169" t="s">
        <v>226</v>
      </c>
      <c r="J169">
        <f t="shared" si="10"/>
        <v>4200</v>
      </c>
      <c r="K169">
        <f t="shared" si="11"/>
        <v>1800</v>
      </c>
    </row>
    <row r="170" spans="1:11" x14ac:dyDescent="0.25">
      <c r="A170" t="s">
        <v>177</v>
      </c>
      <c r="B170" s="8">
        <v>45829</v>
      </c>
      <c r="C170" t="s">
        <v>214</v>
      </c>
      <c r="D170" t="s">
        <v>221</v>
      </c>
      <c r="E170" t="s">
        <v>222</v>
      </c>
      <c r="F170">
        <v>7</v>
      </c>
      <c r="G170">
        <v>3000</v>
      </c>
      <c r="H170">
        <v>2000</v>
      </c>
      <c r="I170" t="s">
        <v>226</v>
      </c>
      <c r="J170">
        <f t="shared" si="10"/>
        <v>21000</v>
      </c>
      <c r="K170">
        <f t="shared" si="11"/>
        <v>7000</v>
      </c>
    </row>
    <row r="171" spans="1:11" x14ac:dyDescent="0.25">
      <c r="A171" t="s">
        <v>178</v>
      </c>
      <c r="B171" s="8">
        <v>45733</v>
      </c>
      <c r="C171" t="s">
        <v>215</v>
      </c>
      <c r="D171" t="s">
        <v>220</v>
      </c>
      <c r="E171" t="s">
        <v>222</v>
      </c>
      <c r="F171">
        <v>5</v>
      </c>
      <c r="G171">
        <v>300</v>
      </c>
      <c r="H171">
        <v>150</v>
      </c>
      <c r="I171" t="s">
        <v>226</v>
      </c>
      <c r="J171">
        <f t="shared" si="10"/>
        <v>1500</v>
      </c>
      <c r="K171">
        <f t="shared" si="11"/>
        <v>750</v>
      </c>
    </row>
    <row r="172" spans="1:11" x14ac:dyDescent="0.25">
      <c r="A172" t="s">
        <v>179</v>
      </c>
      <c r="B172" s="8">
        <v>45689</v>
      </c>
      <c r="C172" t="s">
        <v>209</v>
      </c>
      <c r="D172" t="s">
        <v>219</v>
      </c>
      <c r="E172" t="s">
        <v>222</v>
      </c>
      <c r="F172">
        <v>4</v>
      </c>
      <c r="G172">
        <v>2000</v>
      </c>
      <c r="H172">
        <v>1400</v>
      </c>
      <c r="I172" t="s">
        <v>226</v>
      </c>
      <c r="J172">
        <f t="shared" si="10"/>
        <v>8000</v>
      </c>
      <c r="K172">
        <f t="shared" si="11"/>
        <v>2400</v>
      </c>
    </row>
    <row r="173" spans="1:11" x14ac:dyDescent="0.25">
      <c r="A173" t="s">
        <v>180</v>
      </c>
      <c r="B173" s="8">
        <v>45863</v>
      </c>
      <c r="C173" t="s">
        <v>212</v>
      </c>
      <c r="D173" t="s">
        <v>219</v>
      </c>
      <c r="E173" t="s">
        <v>224</v>
      </c>
      <c r="F173">
        <v>3</v>
      </c>
      <c r="G173">
        <v>800</v>
      </c>
      <c r="H173">
        <v>500</v>
      </c>
      <c r="I173" t="s">
        <v>226</v>
      </c>
      <c r="J173">
        <f t="shared" si="10"/>
        <v>2400</v>
      </c>
      <c r="K173">
        <f t="shared" si="11"/>
        <v>900</v>
      </c>
    </row>
    <row r="174" spans="1:11" x14ac:dyDescent="0.25">
      <c r="A174" t="s">
        <v>181</v>
      </c>
      <c r="B174" s="8">
        <v>45716</v>
      </c>
      <c r="C174" t="s">
        <v>215</v>
      </c>
      <c r="D174" t="s">
        <v>220</v>
      </c>
      <c r="E174" t="s">
        <v>222</v>
      </c>
      <c r="F174">
        <v>5</v>
      </c>
      <c r="G174">
        <v>300</v>
      </c>
      <c r="H174">
        <v>150</v>
      </c>
      <c r="I174" t="s">
        <v>226</v>
      </c>
      <c r="J174">
        <f t="shared" si="10"/>
        <v>1500</v>
      </c>
      <c r="K174">
        <f t="shared" si="11"/>
        <v>750</v>
      </c>
    </row>
    <row r="175" spans="1:11" x14ac:dyDescent="0.25">
      <c r="A175" t="s">
        <v>182</v>
      </c>
      <c r="B175" s="8">
        <v>45778</v>
      </c>
      <c r="C175" t="s">
        <v>218</v>
      </c>
      <c r="D175" t="s">
        <v>220</v>
      </c>
      <c r="E175" t="s">
        <v>224</v>
      </c>
      <c r="F175">
        <v>5</v>
      </c>
      <c r="G175">
        <v>2500</v>
      </c>
      <c r="H175">
        <v>1800</v>
      </c>
      <c r="I175" t="s">
        <v>226</v>
      </c>
      <c r="J175">
        <f t="shared" si="10"/>
        <v>12500</v>
      </c>
      <c r="K175">
        <f t="shared" si="11"/>
        <v>3500</v>
      </c>
    </row>
    <row r="176" spans="1:11" x14ac:dyDescent="0.25">
      <c r="A176" t="s">
        <v>183</v>
      </c>
      <c r="B176" s="8">
        <v>45707</v>
      </c>
      <c r="C176" t="s">
        <v>213</v>
      </c>
      <c r="D176" t="s">
        <v>221</v>
      </c>
      <c r="E176" t="s">
        <v>224</v>
      </c>
      <c r="F176">
        <v>1</v>
      </c>
      <c r="G176">
        <v>1200</v>
      </c>
      <c r="H176">
        <v>800</v>
      </c>
      <c r="I176" t="s">
        <v>226</v>
      </c>
      <c r="J176">
        <f t="shared" si="10"/>
        <v>1200</v>
      </c>
      <c r="K176">
        <f t="shared" si="11"/>
        <v>400</v>
      </c>
    </row>
    <row r="177" spans="1:11" x14ac:dyDescent="0.25">
      <c r="A177" t="s">
        <v>184</v>
      </c>
      <c r="B177" s="8">
        <v>45693</v>
      </c>
      <c r="C177" t="s">
        <v>211</v>
      </c>
      <c r="D177" t="s">
        <v>220</v>
      </c>
      <c r="E177" t="s">
        <v>222</v>
      </c>
      <c r="F177">
        <v>9</v>
      </c>
      <c r="G177">
        <v>500</v>
      </c>
      <c r="H177">
        <v>300</v>
      </c>
      <c r="I177" t="s">
        <v>226</v>
      </c>
      <c r="J177">
        <f t="shared" si="10"/>
        <v>4500</v>
      </c>
      <c r="K177">
        <f t="shared" si="11"/>
        <v>1800</v>
      </c>
    </row>
    <row r="178" spans="1:11" x14ac:dyDescent="0.25">
      <c r="A178" t="s">
        <v>185</v>
      </c>
      <c r="B178" s="8">
        <v>45753</v>
      </c>
      <c r="C178" t="s">
        <v>210</v>
      </c>
      <c r="D178" t="s">
        <v>220</v>
      </c>
      <c r="E178" t="s">
        <v>223</v>
      </c>
      <c r="F178">
        <v>8</v>
      </c>
      <c r="G178">
        <v>1500</v>
      </c>
      <c r="H178">
        <v>900</v>
      </c>
      <c r="I178" t="s">
        <v>226</v>
      </c>
      <c r="J178">
        <f t="shared" si="10"/>
        <v>12000</v>
      </c>
      <c r="K178">
        <f t="shared" si="11"/>
        <v>4800</v>
      </c>
    </row>
    <row r="179" spans="1:11" x14ac:dyDescent="0.25">
      <c r="A179" t="s">
        <v>186</v>
      </c>
      <c r="B179" s="8">
        <v>45854</v>
      </c>
      <c r="C179" t="s">
        <v>217</v>
      </c>
      <c r="D179" t="s">
        <v>221</v>
      </c>
      <c r="E179" t="s">
        <v>225</v>
      </c>
      <c r="F179">
        <v>5</v>
      </c>
      <c r="G179">
        <v>700</v>
      </c>
      <c r="H179">
        <v>400</v>
      </c>
      <c r="I179" t="s">
        <v>226</v>
      </c>
      <c r="J179">
        <f t="shared" si="10"/>
        <v>3500</v>
      </c>
      <c r="K179">
        <f t="shared" si="11"/>
        <v>1500</v>
      </c>
    </row>
    <row r="180" spans="1:11" x14ac:dyDescent="0.25">
      <c r="A180" t="s">
        <v>187</v>
      </c>
      <c r="B180" s="8">
        <v>45725</v>
      </c>
      <c r="C180" t="s">
        <v>214</v>
      </c>
      <c r="D180" t="s">
        <v>221</v>
      </c>
      <c r="E180" t="s">
        <v>223</v>
      </c>
      <c r="F180">
        <v>3</v>
      </c>
      <c r="G180">
        <v>3000</v>
      </c>
      <c r="H180">
        <v>2000</v>
      </c>
      <c r="I180" t="s">
        <v>226</v>
      </c>
      <c r="J180">
        <f t="shared" si="10"/>
        <v>9000</v>
      </c>
      <c r="K180">
        <f t="shared" si="11"/>
        <v>3000</v>
      </c>
    </row>
    <row r="181" spans="1:11" x14ac:dyDescent="0.25">
      <c r="A181" t="s">
        <v>188</v>
      </c>
      <c r="B181" s="8">
        <v>45819</v>
      </c>
      <c r="C181" t="s">
        <v>215</v>
      </c>
      <c r="D181" t="s">
        <v>220</v>
      </c>
      <c r="E181" t="s">
        <v>223</v>
      </c>
      <c r="F181">
        <v>2</v>
      </c>
      <c r="G181">
        <v>300</v>
      </c>
      <c r="H181">
        <v>150</v>
      </c>
      <c r="I181" t="s">
        <v>226</v>
      </c>
      <c r="J181">
        <f t="shared" si="10"/>
        <v>600</v>
      </c>
      <c r="K181">
        <f t="shared" si="11"/>
        <v>300</v>
      </c>
    </row>
    <row r="182" spans="1:11" x14ac:dyDescent="0.25">
      <c r="A182" t="s">
        <v>189</v>
      </c>
      <c r="B182" s="8">
        <v>45854</v>
      </c>
      <c r="C182" t="s">
        <v>209</v>
      </c>
      <c r="D182" t="s">
        <v>219</v>
      </c>
      <c r="E182" t="s">
        <v>223</v>
      </c>
      <c r="F182">
        <v>10</v>
      </c>
      <c r="G182">
        <v>2000</v>
      </c>
      <c r="H182">
        <v>1400</v>
      </c>
      <c r="I182" t="s">
        <v>226</v>
      </c>
      <c r="J182">
        <f t="shared" si="10"/>
        <v>20000</v>
      </c>
      <c r="K182">
        <f t="shared" si="11"/>
        <v>6000</v>
      </c>
    </row>
    <row r="183" spans="1:11" x14ac:dyDescent="0.25">
      <c r="A183" t="s">
        <v>190</v>
      </c>
      <c r="B183" s="8">
        <v>45685</v>
      </c>
      <c r="C183" t="s">
        <v>217</v>
      </c>
      <c r="D183" t="s">
        <v>221</v>
      </c>
      <c r="E183" t="s">
        <v>223</v>
      </c>
      <c r="F183">
        <v>5</v>
      </c>
      <c r="G183">
        <v>700</v>
      </c>
      <c r="H183">
        <v>400</v>
      </c>
      <c r="I183" t="s">
        <v>226</v>
      </c>
      <c r="J183">
        <f t="shared" si="10"/>
        <v>3500</v>
      </c>
      <c r="K183">
        <f t="shared" si="11"/>
        <v>1500</v>
      </c>
    </row>
    <row r="184" spans="1:11" x14ac:dyDescent="0.25">
      <c r="A184" t="s">
        <v>191</v>
      </c>
      <c r="B184" s="8">
        <v>45720</v>
      </c>
      <c r="C184" t="s">
        <v>209</v>
      </c>
      <c r="D184" t="s">
        <v>219</v>
      </c>
      <c r="E184" t="s">
        <v>225</v>
      </c>
      <c r="F184">
        <v>9</v>
      </c>
      <c r="G184">
        <v>2000</v>
      </c>
      <c r="H184">
        <v>1400</v>
      </c>
      <c r="I184" t="s">
        <v>226</v>
      </c>
      <c r="J184">
        <f t="shared" si="10"/>
        <v>18000</v>
      </c>
      <c r="K184">
        <f t="shared" si="11"/>
        <v>5400</v>
      </c>
    </row>
    <row r="185" spans="1:11" x14ac:dyDescent="0.25">
      <c r="A185" t="s">
        <v>192</v>
      </c>
      <c r="B185" s="8">
        <v>45766</v>
      </c>
      <c r="C185" t="s">
        <v>217</v>
      </c>
      <c r="D185" t="s">
        <v>221</v>
      </c>
      <c r="E185" t="s">
        <v>225</v>
      </c>
      <c r="F185">
        <v>4</v>
      </c>
      <c r="G185">
        <v>700</v>
      </c>
      <c r="H185">
        <v>400</v>
      </c>
      <c r="I185" t="s">
        <v>226</v>
      </c>
      <c r="J185">
        <f t="shared" si="10"/>
        <v>2800</v>
      </c>
      <c r="K185">
        <f t="shared" si="11"/>
        <v>1200</v>
      </c>
    </row>
    <row r="186" spans="1:11" x14ac:dyDescent="0.25">
      <c r="A186" t="s">
        <v>193</v>
      </c>
      <c r="B186" s="8">
        <v>45720</v>
      </c>
      <c r="C186" t="s">
        <v>215</v>
      </c>
      <c r="D186" t="s">
        <v>220</v>
      </c>
      <c r="E186" t="s">
        <v>225</v>
      </c>
      <c r="F186">
        <v>5</v>
      </c>
      <c r="G186">
        <v>300</v>
      </c>
      <c r="H186">
        <v>150</v>
      </c>
      <c r="I186" t="s">
        <v>226</v>
      </c>
      <c r="J186">
        <f t="shared" si="10"/>
        <v>1500</v>
      </c>
      <c r="K186">
        <f t="shared" si="11"/>
        <v>750</v>
      </c>
    </row>
    <row r="187" spans="1:11" x14ac:dyDescent="0.25">
      <c r="A187" t="s">
        <v>194</v>
      </c>
      <c r="B187" s="8">
        <v>45799</v>
      </c>
      <c r="C187" t="s">
        <v>217</v>
      </c>
      <c r="D187" t="s">
        <v>221</v>
      </c>
      <c r="E187" t="s">
        <v>223</v>
      </c>
      <c r="F187">
        <v>1</v>
      </c>
      <c r="G187">
        <v>700</v>
      </c>
      <c r="H187">
        <v>400</v>
      </c>
      <c r="I187" t="s">
        <v>226</v>
      </c>
      <c r="J187">
        <f t="shared" si="10"/>
        <v>700</v>
      </c>
      <c r="K187">
        <f t="shared" si="11"/>
        <v>300</v>
      </c>
    </row>
    <row r="188" spans="1:11" x14ac:dyDescent="0.25">
      <c r="A188" t="s">
        <v>195</v>
      </c>
      <c r="B188" s="8">
        <v>45763</v>
      </c>
      <c r="C188" t="s">
        <v>218</v>
      </c>
      <c r="D188" t="s">
        <v>220</v>
      </c>
      <c r="E188" t="s">
        <v>222</v>
      </c>
      <c r="F188">
        <v>4</v>
      </c>
      <c r="G188">
        <v>2500</v>
      </c>
      <c r="H188">
        <v>1800</v>
      </c>
      <c r="I188" t="s">
        <v>226</v>
      </c>
      <c r="J188">
        <f t="shared" si="10"/>
        <v>10000</v>
      </c>
      <c r="K188">
        <f t="shared" si="11"/>
        <v>2800</v>
      </c>
    </row>
    <row r="189" spans="1:11" x14ac:dyDescent="0.25">
      <c r="A189" t="s">
        <v>196</v>
      </c>
      <c r="B189" s="8">
        <v>45745</v>
      </c>
      <c r="C189" t="s">
        <v>210</v>
      </c>
      <c r="D189" t="s">
        <v>220</v>
      </c>
      <c r="E189" t="s">
        <v>224</v>
      </c>
      <c r="F189">
        <v>4</v>
      </c>
      <c r="G189">
        <v>1500</v>
      </c>
      <c r="H189">
        <v>900</v>
      </c>
      <c r="I189" t="s">
        <v>226</v>
      </c>
      <c r="J189">
        <f t="shared" si="10"/>
        <v>6000</v>
      </c>
      <c r="K189">
        <f t="shared" si="11"/>
        <v>2400</v>
      </c>
    </row>
    <row r="190" spans="1:11" x14ac:dyDescent="0.25">
      <c r="A190" t="s">
        <v>197</v>
      </c>
      <c r="B190" s="8">
        <v>45839</v>
      </c>
      <c r="C190" t="s">
        <v>210</v>
      </c>
      <c r="D190" t="s">
        <v>220</v>
      </c>
      <c r="E190" t="s">
        <v>225</v>
      </c>
      <c r="F190">
        <v>1</v>
      </c>
      <c r="G190">
        <v>1500</v>
      </c>
      <c r="H190">
        <v>900</v>
      </c>
      <c r="I190" t="s">
        <v>226</v>
      </c>
      <c r="J190">
        <f t="shared" si="10"/>
        <v>1500</v>
      </c>
      <c r="K190">
        <f t="shared" si="11"/>
        <v>600</v>
      </c>
    </row>
    <row r="191" spans="1:11" x14ac:dyDescent="0.25">
      <c r="A191" t="s">
        <v>198</v>
      </c>
      <c r="B191" s="8">
        <v>45739</v>
      </c>
      <c r="C191" t="s">
        <v>217</v>
      </c>
      <c r="D191" t="s">
        <v>221</v>
      </c>
      <c r="E191" t="s">
        <v>222</v>
      </c>
      <c r="F191">
        <v>8</v>
      </c>
      <c r="G191">
        <v>700</v>
      </c>
      <c r="H191">
        <v>400</v>
      </c>
      <c r="I191" t="s">
        <v>227</v>
      </c>
      <c r="J191">
        <f t="shared" si="10"/>
        <v>5600</v>
      </c>
      <c r="K191">
        <f t="shared" si="11"/>
        <v>2400</v>
      </c>
    </row>
    <row r="192" spans="1:11" x14ac:dyDescent="0.25">
      <c r="A192" t="s">
        <v>199</v>
      </c>
      <c r="B192" s="8">
        <v>45771</v>
      </c>
      <c r="C192" t="s">
        <v>213</v>
      </c>
      <c r="D192" t="s">
        <v>221</v>
      </c>
      <c r="E192" t="s">
        <v>225</v>
      </c>
      <c r="F192">
        <v>5</v>
      </c>
      <c r="G192">
        <v>1200</v>
      </c>
      <c r="H192">
        <v>800</v>
      </c>
      <c r="I192" t="s">
        <v>227</v>
      </c>
      <c r="J192">
        <f t="shared" si="10"/>
        <v>6000</v>
      </c>
      <c r="K192">
        <f t="shared" si="11"/>
        <v>2000</v>
      </c>
    </row>
    <row r="193" spans="1:11" x14ac:dyDescent="0.25">
      <c r="A193" t="s">
        <v>200</v>
      </c>
      <c r="B193" s="8">
        <v>45707</v>
      </c>
      <c r="C193" t="s">
        <v>218</v>
      </c>
      <c r="D193" t="s">
        <v>220</v>
      </c>
      <c r="E193" t="s">
        <v>224</v>
      </c>
      <c r="F193">
        <v>5</v>
      </c>
      <c r="G193">
        <v>2500</v>
      </c>
      <c r="H193">
        <v>1800</v>
      </c>
      <c r="I193" t="s">
        <v>226</v>
      </c>
      <c r="J193">
        <f t="shared" si="10"/>
        <v>12500</v>
      </c>
      <c r="K193">
        <f t="shared" si="11"/>
        <v>3500</v>
      </c>
    </row>
    <row r="194" spans="1:11" x14ac:dyDescent="0.25">
      <c r="A194" t="s">
        <v>201</v>
      </c>
      <c r="B194" s="8">
        <v>45772</v>
      </c>
      <c r="C194" t="s">
        <v>212</v>
      </c>
      <c r="D194" t="s">
        <v>219</v>
      </c>
      <c r="E194" t="s">
        <v>224</v>
      </c>
      <c r="F194">
        <v>4</v>
      </c>
      <c r="G194">
        <v>800</v>
      </c>
      <c r="H194">
        <v>500</v>
      </c>
      <c r="I194" t="s">
        <v>226</v>
      </c>
      <c r="J194">
        <f t="shared" ref="J194:J201" si="12">F194*G194</f>
        <v>3200</v>
      </c>
      <c r="K194">
        <f t="shared" ref="K194:K201" si="13">F194*(G194-H194)</f>
        <v>1200</v>
      </c>
    </row>
    <row r="195" spans="1:11" x14ac:dyDescent="0.25">
      <c r="A195" t="s">
        <v>202</v>
      </c>
      <c r="B195" s="8">
        <v>45858</v>
      </c>
      <c r="C195" t="s">
        <v>210</v>
      </c>
      <c r="D195" t="s">
        <v>220</v>
      </c>
      <c r="E195" t="s">
        <v>223</v>
      </c>
      <c r="F195">
        <v>2</v>
      </c>
      <c r="G195">
        <v>1500</v>
      </c>
      <c r="H195">
        <v>900</v>
      </c>
      <c r="I195" t="s">
        <v>226</v>
      </c>
      <c r="J195">
        <f t="shared" si="12"/>
        <v>3000</v>
      </c>
      <c r="K195">
        <f t="shared" si="13"/>
        <v>1200</v>
      </c>
    </row>
    <row r="196" spans="1:11" x14ac:dyDescent="0.25">
      <c r="A196" t="s">
        <v>203</v>
      </c>
      <c r="B196" s="8">
        <v>45688</v>
      </c>
      <c r="C196" t="s">
        <v>213</v>
      </c>
      <c r="D196" t="s">
        <v>221</v>
      </c>
      <c r="E196" t="s">
        <v>222</v>
      </c>
      <c r="F196">
        <v>10</v>
      </c>
      <c r="G196">
        <v>1200</v>
      </c>
      <c r="H196">
        <v>800</v>
      </c>
      <c r="I196" t="s">
        <v>226</v>
      </c>
      <c r="J196">
        <f t="shared" si="12"/>
        <v>12000</v>
      </c>
      <c r="K196">
        <f t="shared" si="13"/>
        <v>4000</v>
      </c>
    </row>
    <row r="197" spans="1:11" x14ac:dyDescent="0.25">
      <c r="A197" t="s">
        <v>204</v>
      </c>
      <c r="B197" s="8">
        <v>45725</v>
      </c>
      <c r="C197" t="s">
        <v>215</v>
      </c>
      <c r="D197" t="s">
        <v>220</v>
      </c>
      <c r="E197" t="s">
        <v>225</v>
      </c>
      <c r="F197">
        <v>5</v>
      </c>
      <c r="G197">
        <v>300</v>
      </c>
      <c r="H197">
        <v>150</v>
      </c>
      <c r="I197" t="s">
        <v>226</v>
      </c>
      <c r="J197">
        <f t="shared" si="12"/>
        <v>1500</v>
      </c>
      <c r="K197">
        <f t="shared" si="13"/>
        <v>750</v>
      </c>
    </row>
    <row r="198" spans="1:11" x14ac:dyDescent="0.25">
      <c r="A198" t="s">
        <v>205</v>
      </c>
      <c r="B198" s="8">
        <v>45746</v>
      </c>
      <c r="C198" t="s">
        <v>212</v>
      </c>
      <c r="D198" t="s">
        <v>219</v>
      </c>
      <c r="E198" t="s">
        <v>225</v>
      </c>
      <c r="F198">
        <v>9</v>
      </c>
      <c r="G198">
        <v>800</v>
      </c>
      <c r="H198">
        <v>500</v>
      </c>
      <c r="I198" t="s">
        <v>226</v>
      </c>
      <c r="J198">
        <f t="shared" si="12"/>
        <v>7200</v>
      </c>
      <c r="K198">
        <f t="shared" si="13"/>
        <v>2700</v>
      </c>
    </row>
    <row r="199" spans="1:11" x14ac:dyDescent="0.25">
      <c r="A199" t="s">
        <v>206</v>
      </c>
      <c r="B199" s="8">
        <v>45686</v>
      </c>
      <c r="C199" t="s">
        <v>217</v>
      </c>
      <c r="D199" t="s">
        <v>221</v>
      </c>
      <c r="E199" t="s">
        <v>225</v>
      </c>
      <c r="F199">
        <v>1</v>
      </c>
      <c r="G199">
        <v>700</v>
      </c>
      <c r="H199">
        <v>400</v>
      </c>
      <c r="I199" t="s">
        <v>226</v>
      </c>
      <c r="J199">
        <f t="shared" si="12"/>
        <v>700</v>
      </c>
      <c r="K199">
        <f t="shared" si="13"/>
        <v>300</v>
      </c>
    </row>
    <row r="200" spans="1:11" x14ac:dyDescent="0.25">
      <c r="A200" t="s">
        <v>207</v>
      </c>
      <c r="B200" s="8">
        <v>45721</v>
      </c>
      <c r="C200" t="s">
        <v>217</v>
      </c>
      <c r="D200" t="s">
        <v>221</v>
      </c>
      <c r="E200" t="s">
        <v>223</v>
      </c>
      <c r="F200">
        <v>5</v>
      </c>
      <c r="G200">
        <v>700</v>
      </c>
      <c r="H200">
        <v>400</v>
      </c>
      <c r="I200" t="s">
        <v>227</v>
      </c>
      <c r="J200">
        <f t="shared" si="12"/>
        <v>3500</v>
      </c>
      <c r="K200">
        <f t="shared" si="13"/>
        <v>1500</v>
      </c>
    </row>
    <row r="201" spans="1:11" x14ac:dyDescent="0.25">
      <c r="A201" t="s">
        <v>208</v>
      </c>
      <c r="B201" s="8">
        <v>45763</v>
      </c>
      <c r="C201" t="s">
        <v>217</v>
      </c>
      <c r="D201" t="s">
        <v>221</v>
      </c>
      <c r="E201" t="s">
        <v>223</v>
      </c>
      <c r="F201">
        <v>10</v>
      </c>
      <c r="G201">
        <v>700</v>
      </c>
      <c r="H201">
        <v>400</v>
      </c>
      <c r="I201" t="s">
        <v>226</v>
      </c>
      <c r="J201">
        <f t="shared" si="12"/>
        <v>7000</v>
      </c>
      <c r="K201">
        <f t="shared" si="13"/>
        <v>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3</vt:i4>
      </vt:variant>
    </vt:vector>
  </HeadingPairs>
  <TitlesOfParts>
    <vt:vector size="3" baseType="lpstr">
      <vt:lpstr>Pivot_Summary</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Shubham Singh</dc:creator>
  <cp:lastModifiedBy>Windows User</cp:lastModifiedBy>
  <dcterms:created xsi:type="dcterms:W3CDTF">2025-07-27T06:17:55Z</dcterms:created>
  <dcterms:modified xsi:type="dcterms:W3CDTF">2025-08-27T07:46:32Z</dcterms:modified>
</cp:coreProperties>
</file>